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activeX/activeX5.xml" ContentType="application/vnd.ms-office.activeX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YOUTUBE EĞİTİM\EXCEL\DASHBOARD\"/>
    </mc:Choice>
  </mc:AlternateContent>
  <xr:revisionPtr revIDLastSave="0" documentId="13_ncr:1_{5CED7797-0A6D-4670-890B-AE41627601E5}" xr6:coauthVersionLast="45" xr6:coauthVersionMax="45" xr10:uidLastSave="{00000000-0000-0000-0000-000000000000}"/>
  <bookViews>
    <workbookView xWindow="-120" yWindow="-120" windowWidth="29040" windowHeight="15840" activeTab="7" xr2:uid="{00000000-000D-0000-FFFF-FFFF00000000}"/>
  </bookViews>
  <sheets>
    <sheet name="PARAMETRE LİSTESİ" sheetId="1" r:id="rId1"/>
    <sheet name="HAM VERİ" sheetId="2" r:id="rId2"/>
    <sheet name="SATIŞÇILAR" sheetId="10" r:id="rId3"/>
    <sheet name="RAPOR1" sheetId="4" r:id="rId4"/>
    <sheet name="RAPOR2" sheetId="5" r:id="rId5"/>
    <sheet name="RAPOR3" sheetId="6" r:id="rId6"/>
    <sheet name="RAPOR4" sheetId="7" r:id="rId7"/>
    <sheet name="RAPOR5" sheetId="8" r:id="rId8"/>
  </sheets>
  <functionGroups builtInGroupCount="19"/>
  <definedNames>
    <definedName name="_xlnm._FilterDatabase" localSheetId="1" hidden="1">'HAM VERİ'!$A$1:$I$793</definedName>
    <definedName name="Bolgeler">'PARAMETRE LİSTESİ'!$B$2:$B$16</definedName>
    <definedName name="dinamikgrafik">OFFSET(RAPOR4!$U$9,RAPOR4!$P$12,1,1,12)</definedName>
    <definedName name="Donem">'PARAMETRE LİSTESİ'!$A$2:$A$13</definedName>
    <definedName name="Satıscılar">'PARAMETRE LİSTESİ'!$D$2:$D$23</definedName>
    <definedName name="satıscılarr">OFFSET(SATIŞÇILAR!$A$1,MATCH(RAPOR4!$O$11,SATIŞÇILAR!$B$2:$B$23,0),2,1,1)</definedName>
    <definedName name="Sube">'PARAMETRE LİSTESİ'!$C$2:$C$23</definedName>
    <definedName name="Subeler">OFFSET(SATIŞÇILAR!$A$1,MATCH(RAPOR4!$N$11,SATIŞÇILAR!$A$2:$A$23,0),1,COUNTIFS(SATIŞÇILAR!$A$2:$A$23,RAPOR4!$N$11),1)</definedName>
    <definedName name="Urun">'PARAMETRE LİSTESİ'!$E$2:$E$4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4" i="8" l="1"/>
  <c r="F27" i="8" s="1"/>
  <c r="G27" i="8" s="1"/>
  <c r="F28" i="8" l="1"/>
  <c r="G28" i="8" s="1"/>
  <c r="F26" i="8"/>
  <c r="G26" i="8" s="1"/>
  <c r="F23" i="8"/>
  <c r="F22" i="8"/>
  <c r="F21" i="8" l="1"/>
  <c r="Z26" i="7" l="1"/>
  <c r="Y26" i="7"/>
  <c r="Y24" i="7"/>
  <c r="AA26" i="7" l="1"/>
  <c r="AG15" i="7"/>
  <c r="AF15" i="7"/>
  <c r="AE15" i="7"/>
  <c r="AD15" i="7"/>
  <c r="AC15" i="7"/>
  <c r="AB15" i="7"/>
  <c r="AA15" i="7"/>
  <c r="Z15" i="7"/>
  <c r="Y15" i="7"/>
  <c r="X15" i="7"/>
  <c r="W15" i="7"/>
  <c r="V15" i="7"/>
  <c r="AG13" i="7"/>
  <c r="AF13" i="7"/>
  <c r="AE13" i="7"/>
  <c r="AD13" i="7"/>
  <c r="AC13" i="7"/>
  <c r="AB13" i="7"/>
  <c r="AA13" i="7"/>
  <c r="Z13" i="7"/>
  <c r="Y13" i="7"/>
  <c r="X13" i="7"/>
  <c r="W13" i="7"/>
  <c r="V13" i="7"/>
  <c r="W11" i="7"/>
  <c r="X11" i="7"/>
  <c r="Y11" i="7"/>
  <c r="Z11" i="7"/>
  <c r="AA11" i="7"/>
  <c r="AB11" i="7"/>
  <c r="AC11" i="7"/>
  <c r="AD11" i="7"/>
  <c r="AE11" i="7"/>
  <c r="AF11" i="7"/>
  <c r="AG11" i="7"/>
  <c r="V11" i="7"/>
  <c r="V10" i="7"/>
  <c r="AG14" i="7"/>
  <c r="AF14" i="7"/>
  <c r="AE14" i="7"/>
  <c r="AD14" i="7"/>
  <c r="AC14" i="7"/>
  <c r="AB14" i="7"/>
  <c r="AA14" i="7"/>
  <c r="Z14" i="7"/>
  <c r="Y14" i="7"/>
  <c r="X14" i="7"/>
  <c r="W14" i="7"/>
  <c r="V14" i="7"/>
  <c r="AG12" i="7"/>
  <c r="AF12" i="7"/>
  <c r="AE12" i="7"/>
  <c r="AD12" i="7"/>
  <c r="AC12" i="7"/>
  <c r="AB12" i="7"/>
  <c r="AA12" i="7"/>
  <c r="Z12" i="7"/>
  <c r="Y12" i="7"/>
  <c r="X12" i="7"/>
  <c r="W12" i="7"/>
  <c r="V12" i="7"/>
  <c r="W10" i="7"/>
  <c r="X10" i="7"/>
  <c r="Y10" i="7"/>
  <c r="Z10" i="7"/>
  <c r="AA10" i="7"/>
  <c r="AB10" i="7"/>
  <c r="AC10" i="7"/>
  <c r="AD10" i="7"/>
  <c r="AE10" i="7"/>
  <c r="AF10" i="7"/>
  <c r="AG10" i="7"/>
  <c r="U11" i="7"/>
  <c r="U17" i="7"/>
  <c r="U10" i="7"/>
  <c r="U14" i="7"/>
  <c r="U13" i="7"/>
  <c r="U15" i="7"/>
  <c r="U12" i="7"/>
  <c r="U16" i="7"/>
  <c r="AF17" i="7" l="1"/>
  <c r="AG17" i="7"/>
  <c r="AF16" i="7"/>
  <c r="AC17" i="7"/>
  <c r="AB17" i="7"/>
  <c r="X16" i="7"/>
  <c r="AH15" i="7"/>
  <c r="AA17" i="7"/>
  <c r="AH13" i="7"/>
  <c r="Y17" i="7"/>
  <c r="W17" i="7"/>
  <c r="Z17" i="7"/>
  <c r="X17" i="7"/>
  <c r="Z16" i="7"/>
  <c r="AE17" i="7"/>
  <c r="AD17" i="7"/>
  <c r="V16" i="7"/>
  <c r="AH11" i="7"/>
  <c r="AB16" i="7"/>
  <c r="V17" i="7"/>
  <c r="AH12" i="7"/>
  <c r="AH14" i="7"/>
  <c r="AG16" i="7"/>
  <c r="AC16" i="7"/>
  <c r="Y16" i="7"/>
  <c r="AH10" i="7"/>
  <c r="AD16" i="7"/>
  <c r="AE16" i="7"/>
  <c r="AA16" i="7"/>
  <c r="W16" i="7"/>
  <c r="O12" i="7"/>
  <c r="N12" i="7"/>
  <c r="X24" i="7" l="1"/>
  <c r="AH17" i="7"/>
  <c r="AH16" i="7"/>
  <c r="Y11" i="6"/>
  <c r="Y16" i="6"/>
  <c r="Y17" i="6"/>
  <c r="Y18" i="6"/>
  <c r="Y19" i="6"/>
  <c r="Y20" i="6"/>
  <c r="Y21" i="6"/>
  <c r="Y22" i="6"/>
  <c r="Y23" i="6"/>
  <c r="Y24" i="6"/>
  <c r="Y25" i="6"/>
  <c r="Y26" i="6"/>
  <c r="Y15" i="6"/>
  <c r="X16" i="6"/>
  <c r="X17" i="6"/>
  <c r="X18" i="6"/>
  <c r="X19" i="6"/>
  <c r="X20" i="6"/>
  <c r="X21" i="6"/>
  <c r="X22" i="6"/>
  <c r="X23" i="6"/>
  <c r="X24" i="6"/>
  <c r="X25" i="6"/>
  <c r="X26" i="6"/>
  <c r="X15" i="6"/>
  <c r="N32" i="6" l="1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J12" i="6"/>
  <c r="J13" i="6"/>
  <c r="J14" i="6"/>
  <c r="J15" i="6"/>
  <c r="J16" i="6"/>
  <c r="J17" i="6"/>
  <c r="J18" i="6"/>
  <c r="J19" i="6"/>
  <c r="J20" i="6"/>
  <c r="J21" i="6"/>
  <c r="J22" i="6"/>
  <c r="P22" i="6" s="1"/>
  <c r="J23" i="6"/>
  <c r="P23" i="6" s="1"/>
  <c r="J24" i="6"/>
  <c r="J25" i="6"/>
  <c r="J26" i="6"/>
  <c r="P26" i="6" s="1"/>
  <c r="J27" i="6"/>
  <c r="P27" i="6" s="1"/>
  <c r="J28" i="6"/>
  <c r="J29" i="6"/>
  <c r="J30" i="6"/>
  <c r="P30" i="6" s="1"/>
  <c r="J31" i="6"/>
  <c r="P31" i="6" s="1"/>
  <c r="J32" i="6"/>
  <c r="J11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O32" i="6" s="1"/>
  <c r="I11" i="6"/>
  <c r="P18" i="6" l="1"/>
  <c r="O28" i="6"/>
  <c r="O24" i="6"/>
  <c r="P20" i="6"/>
  <c r="P19" i="6"/>
  <c r="P15" i="6"/>
  <c r="L34" i="6"/>
  <c r="P14" i="6"/>
  <c r="P16" i="6"/>
  <c r="O30" i="6"/>
  <c r="P32" i="6"/>
  <c r="P28" i="6"/>
  <c r="P24" i="6"/>
  <c r="P29" i="6"/>
  <c r="I33" i="6"/>
  <c r="O19" i="6"/>
  <c r="O23" i="6"/>
  <c r="O20" i="6"/>
  <c r="O16" i="6"/>
  <c r="M33" i="6"/>
  <c r="K33" i="6"/>
  <c r="J33" i="6"/>
  <c r="L33" i="6"/>
  <c r="O15" i="6"/>
  <c r="N34" i="6"/>
  <c r="O31" i="6"/>
  <c r="O27" i="6"/>
  <c r="N33" i="6"/>
  <c r="P21" i="6"/>
  <c r="P12" i="6"/>
  <c r="P11" i="6"/>
  <c r="P13" i="6"/>
  <c r="P17" i="6"/>
  <c r="P25" i="6"/>
  <c r="J34" i="6"/>
  <c r="O26" i="6"/>
  <c r="K34" i="6"/>
  <c r="M34" i="6"/>
  <c r="O18" i="6"/>
  <c r="O22" i="6"/>
  <c r="O14" i="6"/>
  <c r="O25" i="6"/>
  <c r="O29" i="6"/>
  <c r="O12" i="6"/>
  <c r="O13" i="6"/>
  <c r="O17" i="6"/>
  <c r="O21" i="6"/>
  <c r="I34" i="6"/>
  <c r="O11" i="6"/>
  <c r="T22" i="5"/>
  <c r="T21" i="5"/>
  <c r="T20" i="5"/>
  <c r="T19" i="5"/>
  <c r="T18" i="5"/>
  <c r="T17" i="5"/>
  <c r="T16" i="5"/>
  <c r="T15" i="5"/>
  <c r="T14" i="5"/>
  <c r="T13" i="5"/>
  <c r="T12" i="5"/>
  <c r="T11" i="5"/>
  <c r="R22" i="5"/>
  <c r="R21" i="5"/>
  <c r="R20" i="5"/>
  <c r="R19" i="5"/>
  <c r="R18" i="5"/>
  <c r="R17" i="5"/>
  <c r="R16" i="5"/>
  <c r="R15" i="5"/>
  <c r="R14" i="5"/>
  <c r="R13" i="5"/>
  <c r="R12" i="5"/>
  <c r="R11" i="5"/>
  <c r="P12" i="5"/>
  <c r="P13" i="5"/>
  <c r="P14" i="5"/>
  <c r="P15" i="5"/>
  <c r="P16" i="5"/>
  <c r="P17" i="5"/>
  <c r="V17" i="5" s="1"/>
  <c r="P18" i="5"/>
  <c r="P19" i="5"/>
  <c r="V19" i="5" s="1"/>
  <c r="P20" i="5"/>
  <c r="P21" i="5"/>
  <c r="P22" i="5"/>
  <c r="P11" i="5"/>
  <c r="S22" i="5"/>
  <c r="S21" i="5"/>
  <c r="S20" i="5"/>
  <c r="S19" i="5"/>
  <c r="S18" i="5"/>
  <c r="S17" i="5"/>
  <c r="S16" i="5"/>
  <c r="S15" i="5"/>
  <c r="S14" i="5"/>
  <c r="S13" i="5"/>
  <c r="S12" i="5"/>
  <c r="S11" i="5"/>
  <c r="Q22" i="5"/>
  <c r="Q21" i="5"/>
  <c r="Q20" i="5"/>
  <c r="Q19" i="5"/>
  <c r="Q18" i="5"/>
  <c r="Q17" i="5"/>
  <c r="Q16" i="5"/>
  <c r="Q15" i="5"/>
  <c r="Q14" i="5"/>
  <c r="Q13" i="5"/>
  <c r="Q12" i="5"/>
  <c r="Q11" i="5"/>
  <c r="O12" i="5"/>
  <c r="O13" i="5"/>
  <c r="O14" i="5"/>
  <c r="O15" i="5"/>
  <c r="O16" i="5"/>
  <c r="O17" i="5"/>
  <c r="O18" i="5"/>
  <c r="O19" i="5"/>
  <c r="U19" i="5" s="1"/>
  <c r="O20" i="5"/>
  <c r="O21" i="5"/>
  <c r="O22" i="5"/>
  <c r="O11" i="5"/>
  <c r="U17" i="5" l="1"/>
  <c r="U21" i="5"/>
  <c r="V11" i="5"/>
  <c r="V21" i="5"/>
  <c r="O33" i="6"/>
  <c r="V22" i="5"/>
  <c r="P33" i="6"/>
  <c r="P34" i="6"/>
  <c r="O34" i="6"/>
  <c r="V20" i="5"/>
  <c r="V15" i="5"/>
  <c r="V13" i="5"/>
  <c r="V16" i="5"/>
  <c r="T23" i="5"/>
  <c r="R23" i="5"/>
  <c r="U22" i="5"/>
  <c r="V18" i="5"/>
  <c r="V14" i="5"/>
  <c r="U11" i="5"/>
  <c r="V12" i="5"/>
  <c r="P23" i="5"/>
  <c r="U13" i="5"/>
  <c r="U15" i="5"/>
  <c r="Q23" i="5"/>
  <c r="U18" i="5"/>
  <c r="U14" i="5"/>
  <c r="S23" i="5"/>
  <c r="U20" i="5"/>
  <c r="U16" i="5"/>
  <c r="U12" i="5"/>
  <c r="O23" i="5"/>
  <c r="B9" i="4"/>
  <c r="V23" i="5" l="1"/>
  <c r="U23" i="5"/>
  <c r="I39" i="4"/>
  <c r="V39" i="4"/>
  <c r="AF29" i="4"/>
  <c r="AF25" i="4"/>
  <c r="AF21" i="4"/>
  <c r="AF17" i="4"/>
  <c r="AD28" i="4"/>
  <c r="AD24" i="4"/>
  <c r="AD20" i="4"/>
  <c r="AD16" i="4"/>
  <c r="AB27" i="4"/>
  <c r="AB23" i="4"/>
  <c r="AB19" i="4"/>
  <c r="AB15" i="4"/>
  <c r="Z26" i="4"/>
  <c r="Z22" i="4"/>
  <c r="Z18" i="4"/>
  <c r="X29" i="4"/>
  <c r="X25" i="4"/>
  <c r="X21" i="4"/>
  <c r="X17" i="4"/>
  <c r="V28" i="4"/>
  <c r="V24" i="4"/>
  <c r="V20" i="4"/>
  <c r="V16" i="4"/>
  <c r="T27" i="4"/>
  <c r="T23" i="4"/>
  <c r="T19" i="4"/>
  <c r="T15" i="4"/>
  <c r="R26" i="4"/>
  <c r="R22" i="4"/>
  <c r="R18" i="4"/>
  <c r="P29" i="4"/>
  <c r="P25" i="4"/>
  <c r="P21" i="4"/>
  <c r="P17" i="4"/>
  <c r="N28" i="4"/>
  <c r="N24" i="4"/>
  <c r="N20" i="4"/>
  <c r="N16" i="4"/>
  <c r="L27" i="4"/>
  <c r="L23" i="4"/>
  <c r="L19" i="4"/>
  <c r="L15" i="4"/>
  <c r="J19" i="4"/>
  <c r="J23" i="4"/>
  <c r="J27" i="4"/>
  <c r="AF18" i="4"/>
  <c r="AD17" i="4"/>
  <c r="AB20" i="4"/>
  <c r="Z23" i="4"/>
  <c r="X26" i="4"/>
  <c r="V25" i="4"/>
  <c r="T28" i="4"/>
  <c r="T16" i="4"/>
  <c r="R19" i="4"/>
  <c r="P22" i="4"/>
  <c r="N25" i="4"/>
  <c r="L28" i="4"/>
  <c r="J18" i="4"/>
  <c r="J15" i="4"/>
  <c r="AF28" i="4"/>
  <c r="AF24" i="4"/>
  <c r="AF20" i="4"/>
  <c r="AF16" i="4"/>
  <c r="AD27" i="4"/>
  <c r="AD23" i="4"/>
  <c r="AD19" i="4"/>
  <c r="AD15" i="4"/>
  <c r="AB26" i="4"/>
  <c r="AB22" i="4"/>
  <c r="AB18" i="4"/>
  <c r="Z29" i="4"/>
  <c r="Z25" i="4"/>
  <c r="Z21" i="4"/>
  <c r="Z17" i="4"/>
  <c r="X28" i="4"/>
  <c r="X24" i="4"/>
  <c r="X20" i="4"/>
  <c r="X16" i="4"/>
  <c r="V27" i="4"/>
  <c r="V23" i="4"/>
  <c r="V19" i="4"/>
  <c r="V15" i="4"/>
  <c r="T26" i="4"/>
  <c r="T22" i="4"/>
  <c r="T18" i="4"/>
  <c r="R29" i="4"/>
  <c r="R25" i="4"/>
  <c r="R21" i="4"/>
  <c r="R17" i="4"/>
  <c r="P28" i="4"/>
  <c r="P24" i="4"/>
  <c r="P20" i="4"/>
  <c r="P16" i="4"/>
  <c r="N27" i="4"/>
  <c r="N23" i="4"/>
  <c r="N19" i="4"/>
  <c r="N15" i="4"/>
  <c r="L26" i="4"/>
  <c r="L22" i="4"/>
  <c r="L18" i="4"/>
  <c r="J16" i="4"/>
  <c r="J20" i="4"/>
  <c r="J24" i="4"/>
  <c r="J28" i="4"/>
  <c r="AF22" i="4"/>
  <c r="AD25" i="4"/>
  <c r="AB28" i="4"/>
  <c r="AB16" i="4"/>
  <c r="Z15" i="4"/>
  <c r="X18" i="4"/>
  <c r="V21" i="4"/>
  <c r="T24" i="4"/>
  <c r="R27" i="4"/>
  <c r="R15" i="4"/>
  <c r="P18" i="4"/>
  <c r="N21" i="4"/>
  <c r="L24" i="4"/>
  <c r="L16" i="4"/>
  <c r="J26" i="4"/>
  <c r="AF27" i="4"/>
  <c r="AF23" i="4"/>
  <c r="AF19" i="4"/>
  <c r="AF15" i="4"/>
  <c r="AD26" i="4"/>
  <c r="AD22" i="4"/>
  <c r="AD18" i="4"/>
  <c r="AB29" i="4"/>
  <c r="AB25" i="4"/>
  <c r="AB21" i="4"/>
  <c r="AB17" i="4"/>
  <c r="Z28" i="4"/>
  <c r="Z24" i="4"/>
  <c r="Z20" i="4"/>
  <c r="Z16" i="4"/>
  <c r="X27" i="4"/>
  <c r="X23" i="4"/>
  <c r="X19" i="4"/>
  <c r="X15" i="4"/>
  <c r="V26" i="4"/>
  <c r="V22" i="4"/>
  <c r="V18" i="4"/>
  <c r="T29" i="4"/>
  <c r="T25" i="4"/>
  <c r="T21" i="4"/>
  <c r="T17" i="4"/>
  <c r="R28" i="4"/>
  <c r="R24" i="4"/>
  <c r="R20" i="4"/>
  <c r="R16" i="4"/>
  <c r="P27" i="4"/>
  <c r="P23" i="4"/>
  <c r="P19" i="4"/>
  <c r="P15" i="4"/>
  <c r="N26" i="4"/>
  <c r="N22" i="4"/>
  <c r="N18" i="4"/>
  <c r="L29" i="4"/>
  <c r="L25" i="4"/>
  <c r="L21" i="4"/>
  <c r="L17" i="4"/>
  <c r="J17" i="4"/>
  <c r="J21" i="4"/>
  <c r="J25" i="4"/>
  <c r="J29" i="4"/>
  <c r="AF26" i="4"/>
  <c r="AD29" i="4"/>
  <c r="AD21" i="4"/>
  <c r="AB24" i="4"/>
  <c r="Z27" i="4"/>
  <c r="Z19" i="4"/>
  <c r="X22" i="4"/>
  <c r="V29" i="4"/>
  <c r="V17" i="4"/>
  <c r="T20" i="4"/>
  <c r="R23" i="4"/>
  <c r="P26" i="4"/>
  <c r="N29" i="4"/>
  <c r="N17" i="4"/>
  <c r="L20" i="4"/>
  <c r="J22" i="4"/>
  <c r="AE29" i="4"/>
  <c r="AE25" i="4"/>
  <c r="AE21" i="4"/>
  <c r="AE17" i="4"/>
  <c r="AC28" i="4"/>
  <c r="AC24" i="4"/>
  <c r="AC20" i="4"/>
  <c r="AC16" i="4"/>
  <c r="AA27" i="4"/>
  <c r="AA23" i="4"/>
  <c r="AA19" i="4"/>
  <c r="AA15" i="4"/>
  <c r="Y26" i="4"/>
  <c r="Y22" i="4"/>
  <c r="Y18" i="4"/>
  <c r="W29" i="4"/>
  <c r="W25" i="4"/>
  <c r="W21" i="4"/>
  <c r="W17" i="4"/>
  <c r="U28" i="4"/>
  <c r="U24" i="4"/>
  <c r="U20" i="4"/>
  <c r="U16" i="4"/>
  <c r="S27" i="4"/>
  <c r="S23" i="4"/>
  <c r="S19" i="4"/>
  <c r="S15" i="4"/>
  <c r="Q26" i="4"/>
  <c r="Q22" i="4"/>
  <c r="Q18" i="4"/>
  <c r="O29" i="4"/>
  <c r="O25" i="4"/>
  <c r="O21" i="4"/>
  <c r="O17" i="4"/>
  <c r="M28" i="4"/>
  <c r="M24" i="4"/>
  <c r="M20" i="4"/>
  <c r="M16" i="4"/>
  <c r="K27" i="4"/>
  <c r="K23" i="4"/>
  <c r="K19" i="4"/>
  <c r="K15" i="4"/>
  <c r="AC17" i="4"/>
  <c r="Y27" i="4"/>
  <c r="W26" i="4"/>
  <c r="U25" i="4"/>
  <c r="S28" i="4"/>
  <c r="Q27" i="4"/>
  <c r="O22" i="4"/>
  <c r="M25" i="4"/>
  <c r="K28" i="4"/>
  <c r="AE28" i="4"/>
  <c r="AE24" i="4"/>
  <c r="AE20" i="4"/>
  <c r="AE16" i="4"/>
  <c r="AC27" i="4"/>
  <c r="AC23" i="4"/>
  <c r="AC19" i="4"/>
  <c r="AC15" i="4"/>
  <c r="AA26" i="4"/>
  <c r="AA22" i="4"/>
  <c r="AA18" i="4"/>
  <c r="Y29" i="4"/>
  <c r="Y25" i="4"/>
  <c r="Y21" i="4"/>
  <c r="Y17" i="4"/>
  <c r="W28" i="4"/>
  <c r="W24" i="4"/>
  <c r="W20" i="4"/>
  <c r="W16" i="4"/>
  <c r="U27" i="4"/>
  <c r="U23" i="4"/>
  <c r="U19" i="4"/>
  <c r="U15" i="4"/>
  <c r="S26" i="4"/>
  <c r="S22" i="4"/>
  <c r="S18" i="4"/>
  <c r="Q29" i="4"/>
  <c r="Q25" i="4"/>
  <c r="Q21" i="4"/>
  <c r="Q17" i="4"/>
  <c r="O28" i="4"/>
  <c r="O24" i="4"/>
  <c r="O20" i="4"/>
  <c r="O16" i="4"/>
  <c r="M27" i="4"/>
  <c r="M23" i="4"/>
  <c r="M19" i="4"/>
  <c r="M15" i="4"/>
  <c r="K26" i="4"/>
  <c r="K22" i="4"/>
  <c r="K18" i="4"/>
  <c r="AE22" i="4"/>
  <c r="AC29" i="4"/>
  <c r="AC21" i="4"/>
  <c r="AA24" i="4"/>
  <c r="AA20" i="4"/>
  <c r="Y23" i="4"/>
  <c r="Y15" i="4"/>
  <c r="W18" i="4"/>
  <c r="U21" i="4"/>
  <c r="S24" i="4"/>
  <c r="S16" i="4"/>
  <c r="Q19" i="4"/>
  <c r="O26" i="4"/>
  <c r="M29" i="4"/>
  <c r="M17" i="4"/>
  <c r="K20" i="4"/>
  <c r="AE27" i="4"/>
  <c r="AE23" i="4"/>
  <c r="AE19" i="4"/>
  <c r="AE15" i="4"/>
  <c r="AC26" i="4"/>
  <c r="AC22" i="4"/>
  <c r="AC18" i="4"/>
  <c r="AA29" i="4"/>
  <c r="AA25" i="4"/>
  <c r="AA21" i="4"/>
  <c r="AA17" i="4"/>
  <c r="Y28" i="4"/>
  <c r="Y24" i="4"/>
  <c r="Y20" i="4"/>
  <c r="Y16" i="4"/>
  <c r="W27" i="4"/>
  <c r="W23" i="4"/>
  <c r="W19" i="4"/>
  <c r="W15" i="4"/>
  <c r="U26" i="4"/>
  <c r="U22" i="4"/>
  <c r="U18" i="4"/>
  <c r="S29" i="4"/>
  <c r="S25" i="4"/>
  <c r="S21" i="4"/>
  <c r="S17" i="4"/>
  <c r="Q28" i="4"/>
  <c r="Q24" i="4"/>
  <c r="Q20" i="4"/>
  <c r="Q16" i="4"/>
  <c r="O27" i="4"/>
  <c r="O23" i="4"/>
  <c r="O19" i="4"/>
  <c r="O15" i="4"/>
  <c r="M26" i="4"/>
  <c r="M22" i="4"/>
  <c r="M18" i="4"/>
  <c r="K29" i="4"/>
  <c r="K25" i="4"/>
  <c r="K21" i="4"/>
  <c r="K17" i="4"/>
  <c r="AE26" i="4"/>
  <c r="AE18" i="4"/>
  <c r="AC25" i="4"/>
  <c r="AA28" i="4"/>
  <c r="AA16" i="4"/>
  <c r="Y19" i="4"/>
  <c r="W22" i="4"/>
  <c r="U29" i="4"/>
  <c r="U17" i="4"/>
  <c r="S20" i="4"/>
  <c r="Q23" i="4"/>
  <c r="Q15" i="4"/>
  <c r="O18" i="4"/>
  <c r="M21" i="4"/>
  <c r="K24" i="4"/>
  <c r="K16" i="4"/>
  <c r="I16" i="4"/>
  <c r="I20" i="4"/>
  <c r="I24" i="4"/>
  <c r="I28" i="4"/>
  <c r="I26" i="4"/>
  <c r="I15" i="4"/>
  <c r="I23" i="4"/>
  <c r="I27" i="4"/>
  <c r="I17" i="4"/>
  <c r="I21" i="4"/>
  <c r="I25" i="4"/>
  <c r="I29" i="4"/>
  <c r="I22" i="4"/>
  <c r="I19" i="4"/>
  <c r="I18" i="4"/>
  <c r="AE37" i="4" l="1"/>
  <c r="V37" i="4"/>
  <c r="AF37" i="4"/>
  <c r="L37" i="4"/>
  <c r="O37" i="4"/>
  <c r="T37" i="4"/>
  <c r="M37" i="4"/>
  <c r="K37" i="4"/>
  <c r="P37" i="4"/>
  <c r="Q37" i="4"/>
  <c r="AA37" i="4"/>
  <c r="W37" i="4"/>
  <c r="AD37" i="4"/>
  <c r="X37" i="4"/>
  <c r="Y37" i="4"/>
  <c r="Z37" i="4"/>
  <c r="AB37" i="4"/>
  <c r="AG37" i="4"/>
  <c r="AC37" i="4"/>
  <c r="R37" i="4"/>
  <c r="S37" i="4"/>
  <c r="N37" i="4"/>
  <c r="J37" i="4"/>
  <c r="I37" i="4"/>
  <c r="J31" i="4"/>
  <c r="J30" i="4"/>
  <c r="V30" i="4"/>
  <c r="AB30" i="4"/>
  <c r="AB31" i="4"/>
  <c r="R30" i="4"/>
  <c r="AF31" i="4"/>
  <c r="AF30" i="4"/>
  <c r="N31" i="4"/>
  <c r="N30" i="4"/>
  <c r="Z30" i="4"/>
  <c r="T30" i="4"/>
  <c r="T31" i="4"/>
  <c r="Z31" i="4"/>
  <c r="X31" i="4"/>
  <c r="X30" i="4"/>
  <c r="AD30" i="4"/>
  <c r="L30" i="4"/>
  <c r="L31" i="4"/>
  <c r="R31" i="4"/>
  <c r="P31" i="4"/>
  <c r="P30" i="4"/>
  <c r="V31" i="4"/>
  <c r="AD31" i="4"/>
  <c r="W31" i="4"/>
  <c r="Y30" i="4"/>
  <c r="O30" i="4"/>
  <c r="S30" i="4"/>
  <c r="U31" i="4"/>
  <c r="M30" i="4"/>
  <c r="M31" i="4"/>
  <c r="S31" i="4"/>
  <c r="AC31" i="4"/>
  <c r="AA30" i="4"/>
  <c r="K30" i="4"/>
  <c r="K31" i="4"/>
  <c r="AE31" i="4"/>
  <c r="Y31" i="4"/>
  <c r="AE30" i="4"/>
  <c r="Q30" i="4"/>
  <c r="AC30" i="4"/>
  <c r="O31" i="4"/>
  <c r="Q31" i="4"/>
  <c r="W30" i="4"/>
  <c r="U30" i="4"/>
  <c r="AA31" i="4"/>
  <c r="I31" i="4"/>
  <c r="I30" i="4"/>
</calcChain>
</file>

<file path=xl/sharedStrings.xml><?xml version="1.0" encoding="utf-8"?>
<sst xmlns="http://schemas.openxmlformats.org/spreadsheetml/2006/main" count="4308" uniqueCount="109">
  <si>
    <t>DÖNEM</t>
  </si>
  <si>
    <t>OCAK</t>
  </si>
  <si>
    <t>ŞUBAT</t>
  </si>
  <si>
    <t>MART</t>
  </si>
  <si>
    <t>NİSAN</t>
  </si>
  <si>
    <t>MAYIS</t>
  </si>
  <si>
    <t>HAZİRAN</t>
  </si>
  <si>
    <t>TEMMUZ</t>
  </si>
  <si>
    <t>AĞUSTOS</t>
  </si>
  <si>
    <t>EYLÜL</t>
  </si>
  <si>
    <t>EKİM</t>
  </si>
  <si>
    <t>KASIM</t>
  </si>
  <si>
    <t>ARALIK</t>
  </si>
  <si>
    <t>Bölgeler</t>
  </si>
  <si>
    <t>1. BÖLGE</t>
  </si>
  <si>
    <t>2. BÖLGE</t>
  </si>
  <si>
    <t>3. BÖLGE</t>
  </si>
  <si>
    <t>4. BÖLGE</t>
  </si>
  <si>
    <t>5. BÖLGE</t>
  </si>
  <si>
    <t>6. BÖLGE</t>
  </si>
  <si>
    <t>7. BÖLGE</t>
  </si>
  <si>
    <t>8. BÖLGE</t>
  </si>
  <si>
    <t>9. BÖLGE</t>
  </si>
  <si>
    <t>10. BÖLGE</t>
  </si>
  <si>
    <t>11. BÖLGE</t>
  </si>
  <si>
    <t>12. BÖLGE</t>
  </si>
  <si>
    <t>13. BÖLGE</t>
  </si>
  <si>
    <t>14. BÖLGE</t>
  </si>
  <si>
    <t>15. BÖLGE</t>
  </si>
  <si>
    <t>ANKARA</t>
  </si>
  <si>
    <t>İZMİR</t>
  </si>
  <si>
    <t>BÖLGE</t>
  </si>
  <si>
    <t>ŞUBE</t>
  </si>
  <si>
    <t>SATIŞÇI</t>
  </si>
  <si>
    <t>ÜRÜN</t>
  </si>
  <si>
    <t>1. Bölge</t>
  </si>
  <si>
    <t>İSTANBUL</t>
  </si>
  <si>
    <t>TRABZON</t>
  </si>
  <si>
    <t>GAZİANTEP</t>
  </si>
  <si>
    <t>KOCAELİ</t>
  </si>
  <si>
    <t>ESKİŞEHİR</t>
  </si>
  <si>
    <t>ANTALYA</t>
  </si>
  <si>
    <t>ÇANAKKALE</t>
  </si>
  <si>
    <t>SAMSUN</t>
  </si>
  <si>
    <t>TEKİRDAĞ</t>
  </si>
  <si>
    <t>MALATYA</t>
  </si>
  <si>
    <t>BURSA</t>
  </si>
  <si>
    <t>BALIKESİR</t>
  </si>
  <si>
    <t>MANİSA</t>
  </si>
  <si>
    <t>MUĞLA</t>
  </si>
  <si>
    <t>KONYA</t>
  </si>
  <si>
    <t>DENİZLİ</t>
  </si>
  <si>
    <t>MERSİN</t>
  </si>
  <si>
    <t>ADANA</t>
  </si>
  <si>
    <t>EDİRNE</t>
  </si>
  <si>
    <t>BOLU</t>
  </si>
  <si>
    <t>Dönem</t>
  </si>
  <si>
    <t>Şube</t>
  </si>
  <si>
    <t>Satışçılar</t>
  </si>
  <si>
    <t>YUSUF BALCI</t>
  </si>
  <si>
    <t>CEM CAN</t>
  </si>
  <si>
    <t>HASAN ASLAN</t>
  </si>
  <si>
    <t>MURAT TASTAN</t>
  </si>
  <si>
    <t>ONUR BERİ</t>
  </si>
  <si>
    <t>ELİF NURLU</t>
  </si>
  <si>
    <t>MELEK DOĞAN</t>
  </si>
  <si>
    <t>ARZU ER</t>
  </si>
  <si>
    <t>MERT ÖZDOĞAN</t>
  </si>
  <si>
    <t>MUSTAFA CANBOLAT</t>
  </si>
  <si>
    <t>DERYA ŞAHİN</t>
  </si>
  <si>
    <t>HÜSEYİN ARSLAN</t>
  </si>
  <si>
    <t>İSMAİL YILDIZ</t>
  </si>
  <si>
    <t>BERİL TOPRAK</t>
  </si>
  <si>
    <t>ALP NAZLI</t>
  </si>
  <si>
    <t>HANDE TOPUZ</t>
  </si>
  <si>
    <t>BARIŞ AKÇAY</t>
  </si>
  <si>
    <t>NEVZAT GÜLCÜ</t>
  </si>
  <si>
    <t>AYŞE KASAP</t>
  </si>
  <si>
    <t>EMEL ÇAĞLAYAN</t>
  </si>
  <si>
    <t>RÜŞTÜ ÖZ</t>
  </si>
  <si>
    <t>CENK TURAN</t>
  </si>
  <si>
    <t>Ürünler</t>
  </si>
  <si>
    <t>RAF</t>
  </si>
  <si>
    <t>KİTAPLIK</t>
  </si>
  <si>
    <t>MASA</t>
  </si>
  <si>
    <t>SATILAN ADET</t>
  </si>
  <si>
    <t>HEDEF ADET</t>
  </si>
  <si>
    <t>SATIŞ TUTAR</t>
  </si>
  <si>
    <t>HEDEF TUTAR</t>
  </si>
  <si>
    <t>ADET</t>
  </si>
  <si>
    <t>TUTAR</t>
  </si>
  <si>
    <t>BÖLGELER</t>
  </si>
  <si>
    <t>TOPLAM</t>
  </si>
  <si>
    <t>ORTALAMA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</si>
  <si>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</si>
  <si>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</si>
  <si>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</si>
  <si>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</si>
  <si>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</si>
  <si>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</si>
  <si>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</si>
  <si>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</si>
  <si>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</si>
  <si>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</si>
  <si>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</si>
  <si>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</si>
  <si>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DÖNEMLER</t>
  </si>
  <si>
    <t>ŞUBELER</t>
  </si>
  <si>
    <t>SATIŞÇILAR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</si>
</sst>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\-* #,##0_-;_-* &quot;-&quot;??_-;_-@_-"/>
  </numFmts>
  <fonts count="14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rgb="FF000099"/>
      <name val="Calibri"/>
      <family val="2"/>
      <charset val="162"/>
      <scheme val="minor"/>
    </font>
    <font>
      <sz val="8"/>
      <color rgb="FF000000"/>
      <name val="Segoe UI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20"/>
      <color rgb="FF00B050"/>
      <name val="Arial"/>
      <family val="2"/>
      <charset val="162"/>
    </font>
    <font>
      <sz val="8"/>
      <name val="Calibri"/>
      <family val="2"/>
      <charset val="162"/>
      <scheme val="minor"/>
    </font>
    <font>
      <b/>
      <sz val="11"/>
      <color theme="5"/>
      <name val="Calibri"/>
      <family val="2"/>
      <charset val="162"/>
      <scheme val="minor"/>
    </font>
    <font>
      <sz val="11"/>
      <color theme="4" tint="-0.499984740745262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1"/>
      <color theme="5" tint="-0.249977111117893"/>
      <name val="Wingdings 3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2" borderId="0" xfId="0" applyFill="1"/>
    <xf numFmtId="0" fontId="0" fillId="0" borderId="0" xfId="0" applyNumberFormat="1" applyAlignment="1">
      <alignment horizontal="center"/>
    </xf>
    <xf numFmtId="0" fontId="4" fillId="3" borderId="1" xfId="0" applyFont="1" applyFill="1" applyBorder="1"/>
    <xf numFmtId="0" fontId="3" fillId="4" borderId="1" xfId="0" applyFont="1" applyFill="1" applyBorder="1" applyAlignment="1">
      <alignment horizontal="center"/>
    </xf>
    <xf numFmtId="0" fontId="4" fillId="3" borderId="2" xfId="0" applyFont="1" applyFill="1" applyBorder="1"/>
    <xf numFmtId="0" fontId="3" fillId="4" borderId="3" xfId="0" applyFont="1" applyFill="1" applyBorder="1" applyAlignment="1">
      <alignment horizontal="center"/>
    </xf>
    <xf numFmtId="3" fontId="3" fillId="2" borderId="1" xfId="0" applyNumberFormat="1" applyFont="1" applyFill="1" applyBorder="1" applyAlignment="1">
      <alignment horizontal="center"/>
    </xf>
    <xf numFmtId="3" fontId="3" fillId="5" borderId="1" xfId="0" applyNumberFormat="1" applyFont="1" applyFill="1" applyBorder="1" applyAlignment="1">
      <alignment horizontal="center"/>
    </xf>
    <xf numFmtId="3" fontId="3" fillId="6" borderId="1" xfId="0" applyNumberFormat="1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3" fontId="3" fillId="7" borderId="1" xfId="0" applyNumberFormat="1" applyFont="1" applyFill="1" applyBorder="1" applyAlignment="1">
      <alignment horizontal="center"/>
    </xf>
    <xf numFmtId="3" fontId="0" fillId="2" borderId="0" xfId="0" applyNumberFormat="1" applyFill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3" fontId="9" fillId="2" borderId="1" xfId="0" applyNumberFormat="1" applyFont="1" applyFill="1" applyBorder="1" applyAlignment="1">
      <alignment horizontal="center"/>
    </xf>
    <xf numFmtId="0" fontId="10" fillId="2" borderId="0" xfId="0" applyFont="1" applyFill="1"/>
    <xf numFmtId="0" fontId="6" fillId="2" borderId="0" xfId="0" applyFont="1" applyFill="1"/>
    <xf numFmtId="0" fontId="12" fillId="2" borderId="0" xfId="0" applyFont="1" applyFill="1"/>
    <xf numFmtId="3" fontId="13" fillId="2" borderId="1" xfId="2" applyNumberFormat="1" applyFont="1" applyFill="1" applyBorder="1" applyAlignment="1">
      <alignment horizontal="center"/>
    </xf>
    <xf numFmtId="9" fontId="0" fillId="2" borderId="0" xfId="3" applyFont="1" applyFill="1"/>
    <xf numFmtId="0" fontId="6" fillId="8" borderId="0" xfId="0" applyFont="1" applyFill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9" fontId="0" fillId="2" borderId="0" xfId="0" applyNumberFormat="1" applyFill="1"/>
  </cellXfs>
  <cellStyles count="4">
    <cellStyle name="Köprü" xfId="2" builtinId="8"/>
    <cellStyle name="Normal" xfId="0" builtinId="0"/>
    <cellStyle name="Virgül 2" xfId="1" xr:uid="{00000000-0005-0000-0000-000001000000}"/>
    <cellStyle name="Yüzde" xfId="3" builtinId="5"/>
  </cellStyles>
  <dxfs count="6"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99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RAPOR1!$I$39</c:f>
          <c:strCache>
            <c:ptCount val="1"/>
            <c:pt idx="0">
              <c:v>14. BÖLGE İÇİN HEPSİ(ADET)</c:v>
            </c:pt>
          </c:strCache>
        </c:strRef>
      </c:tx>
      <c:layout>
        <c:manualLayout>
          <c:xMode val="edge"/>
          <c:yMode val="edge"/>
          <c:x val="0.3382694819571288"/>
          <c:y val="2.7350422441990725E-2"/>
        </c:manualLayout>
      </c:layout>
      <c:overlay val="0"/>
      <c:spPr>
        <a:noFill/>
        <a:ln w="952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accent5"/>
              </a:solidFill>
              <a:effectLst>
                <a:reflection blurRad="6350" stA="55000" endA="300" endPos="45500" dir="5400000" sy="-100000" algn="bl" rotWithShape="0"/>
              </a:effectLst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ADET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effectLst>
                      <a:reflection blurRad="6350" stA="55000" endA="300" endPos="45500" dir="5400000" sy="-100000" algn="bl" rotWithShape="0"/>
                    </a:effectLst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RAPOR1!$I$36:$T$36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RAPOR1!$I$37:$T$37</c:f>
              <c:numCache>
                <c:formatCode>#,##0</c:formatCode>
                <c:ptCount val="12"/>
                <c:pt idx="0">
                  <c:v>31</c:v>
                </c:pt>
                <c:pt idx="1">
                  <c:v>111</c:v>
                </c:pt>
                <c:pt idx="2">
                  <c:v>63</c:v>
                </c:pt>
                <c:pt idx="3">
                  <c:v>85</c:v>
                </c:pt>
                <c:pt idx="4">
                  <c:v>143</c:v>
                </c:pt>
                <c:pt idx="5">
                  <c:v>51</c:v>
                </c:pt>
                <c:pt idx="6">
                  <c:v>144</c:v>
                </c:pt>
                <c:pt idx="7">
                  <c:v>42</c:v>
                </c:pt>
                <c:pt idx="8">
                  <c:v>117</c:v>
                </c:pt>
                <c:pt idx="9">
                  <c:v>54</c:v>
                </c:pt>
                <c:pt idx="10">
                  <c:v>116</c:v>
                </c:pt>
                <c:pt idx="11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23-4A2D-9771-40230C2384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85682207"/>
        <c:axId val="1885676383"/>
      </c:barChart>
      <c:catAx>
        <c:axId val="1885682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effectLst>
                  <a:reflection blurRad="6350" stA="55000" endA="300" endPos="45500" dir="5400000" sy="-100000" algn="bl" rotWithShape="0"/>
                </a:effectLst>
                <a:latin typeface="+mn-lt"/>
                <a:ea typeface="+mn-ea"/>
                <a:cs typeface="+mn-cs"/>
              </a:defRPr>
            </a:pPr>
            <a:endParaRPr lang="tr-TR"/>
          </a:p>
        </c:txPr>
        <c:crossAx val="1885676383"/>
        <c:crosses val="autoZero"/>
        <c:auto val="1"/>
        <c:lblAlgn val="ctr"/>
        <c:lblOffset val="100"/>
        <c:noMultiLvlLbl val="0"/>
      </c:catAx>
      <c:valAx>
        <c:axId val="188567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effectLst>
                  <a:reflection blurRad="6350" stA="55000" endA="300" endPos="45500" dir="5400000" sy="-100000" algn="bl" rotWithShape="0"/>
                </a:effectLst>
                <a:latin typeface="+mn-lt"/>
                <a:ea typeface="+mn-ea"/>
                <a:cs typeface="+mn-cs"/>
              </a:defRPr>
            </a:pPr>
            <a:endParaRPr lang="tr-TR"/>
          </a:p>
        </c:txPr>
        <c:crossAx val="1885682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solidFill>
            <a:schemeClr val="bg1">
              <a:lumMod val="75000"/>
            </a:schemeClr>
          </a:solidFill>
          <a:effectLst>
            <a:reflection blurRad="6350" stA="55000" endA="300" endPos="45500" dir="5400000" sy="-100000" algn="bl" rotWithShape="0"/>
          </a:effectLst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RAPOR1!$V$39</c:f>
          <c:strCache>
            <c:ptCount val="1"/>
            <c:pt idx="0">
              <c:v>14. BÖLGE İÇİN HEPSİ(TUTAR)</c:v>
            </c:pt>
          </c:strCache>
        </c:strRef>
      </c:tx>
      <c:overlay val="0"/>
      <c:spPr>
        <a:noFill/>
        <a:ln w="952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accent5"/>
              </a:solidFill>
              <a:effectLst>
                <a:reflection blurRad="6350" stA="55000" endA="300" endPos="45500" dir="5400000" sy="-100000" algn="bl" rotWithShape="0"/>
              </a:effectLst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TUTAR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effectLst>
                      <a:reflection blurRad="6350" stA="55000" endA="300" endPos="45500" dir="5400000" sy="-100000" algn="bl" rotWithShape="0"/>
                    </a:effectLst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RAPOR1!$V$36:$AG$36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RAPOR1!$V$37:$AG$37</c:f>
              <c:numCache>
                <c:formatCode>#,##0</c:formatCode>
                <c:ptCount val="12"/>
                <c:pt idx="0">
                  <c:v>78900</c:v>
                </c:pt>
                <c:pt idx="1">
                  <c:v>719800</c:v>
                </c:pt>
                <c:pt idx="2">
                  <c:v>407400</c:v>
                </c:pt>
                <c:pt idx="3">
                  <c:v>123100</c:v>
                </c:pt>
                <c:pt idx="4">
                  <c:v>228450</c:v>
                </c:pt>
                <c:pt idx="5">
                  <c:v>288650</c:v>
                </c:pt>
                <c:pt idx="6">
                  <c:v>550450</c:v>
                </c:pt>
                <c:pt idx="7">
                  <c:v>114550</c:v>
                </c:pt>
                <c:pt idx="8">
                  <c:v>505400</c:v>
                </c:pt>
                <c:pt idx="9">
                  <c:v>230150</c:v>
                </c:pt>
                <c:pt idx="10">
                  <c:v>183750</c:v>
                </c:pt>
                <c:pt idx="11">
                  <c:v>473700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16-44A7-815E-350691958F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984537343"/>
        <c:axId val="1984529023"/>
      </c:barChart>
      <c:catAx>
        <c:axId val="198453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effectLst>
                  <a:reflection blurRad="6350" stA="55000" endA="300" endPos="45500" dir="5400000" sy="-100000" algn="bl" rotWithShape="0"/>
                </a:effectLst>
                <a:latin typeface="+mn-lt"/>
                <a:ea typeface="+mn-ea"/>
                <a:cs typeface="+mn-cs"/>
              </a:defRPr>
            </a:pPr>
            <a:endParaRPr lang="tr-TR"/>
          </a:p>
        </c:txPr>
        <c:crossAx val="1984529023"/>
        <c:crosses val="autoZero"/>
        <c:auto val="1"/>
        <c:lblAlgn val="ctr"/>
        <c:lblOffset val="100"/>
        <c:noMultiLvlLbl val="0"/>
      </c:catAx>
      <c:valAx>
        <c:axId val="198452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effectLst>
                  <a:reflection blurRad="6350" stA="55000" endA="300" endPos="45500" dir="5400000" sy="-100000" algn="bl" rotWithShape="0"/>
                </a:effectLst>
                <a:latin typeface="+mn-lt"/>
                <a:ea typeface="+mn-ea"/>
                <a:cs typeface="+mn-cs"/>
              </a:defRPr>
            </a:pPr>
            <a:endParaRPr lang="tr-TR"/>
          </a:p>
        </c:txPr>
        <c:crossAx val="198453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solidFill>
            <a:schemeClr val="bg1">
              <a:lumMod val="75000"/>
            </a:schemeClr>
          </a:solidFill>
          <a:effectLst>
            <a:reflection blurRad="6350" stA="55000" endA="300" endPos="45500" dir="5400000" sy="-100000" algn="bl" rotWithShape="0"/>
          </a:effectLst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RAPOR2!$O$9</c:f>
              <c:strCache>
                <c:ptCount val="1"/>
                <c:pt idx="0">
                  <c:v>RAF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RAPOR2!$N$11:$N$22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RAPOR2!$O$11:$O$22</c:f>
              <c:numCache>
                <c:formatCode>#,##0</c:formatCode>
                <c:ptCount val="12"/>
                <c:pt idx="0">
                  <c:v>1</c:v>
                </c:pt>
                <c:pt idx="1">
                  <c:v>8</c:v>
                </c:pt>
                <c:pt idx="2">
                  <c:v>62</c:v>
                </c:pt>
                <c:pt idx="3">
                  <c:v>36</c:v>
                </c:pt>
                <c:pt idx="4">
                  <c:v>7</c:v>
                </c:pt>
                <c:pt idx="5">
                  <c:v>17</c:v>
                </c:pt>
                <c:pt idx="6">
                  <c:v>28</c:v>
                </c:pt>
                <c:pt idx="7">
                  <c:v>30</c:v>
                </c:pt>
                <c:pt idx="8">
                  <c:v>9</c:v>
                </c:pt>
                <c:pt idx="9">
                  <c:v>8</c:v>
                </c:pt>
                <c:pt idx="10">
                  <c:v>32</c:v>
                </c:pt>
                <c:pt idx="1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E-4D80-A73D-83E77CAEB7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67292128"/>
        <c:axId val="1367293376"/>
      </c:barChart>
      <c:catAx>
        <c:axId val="1367292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367293376"/>
        <c:crosses val="autoZero"/>
        <c:auto val="1"/>
        <c:lblAlgn val="ctr"/>
        <c:lblOffset val="100"/>
        <c:noMultiLvlLbl val="0"/>
      </c:catAx>
      <c:valAx>
        <c:axId val="1367293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3672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RAPOR2!$Q$9</c:f>
              <c:strCache>
                <c:ptCount val="1"/>
                <c:pt idx="0">
                  <c:v>KİTAPLIK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RAPOR2!$N$11:$N$22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RAPOR2!$Q$11:$Q$22</c:f>
              <c:numCache>
                <c:formatCode>#,##0</c:formatCode>
                <c:ptCount val="12"/>
                <c:pt idx="0">
                  <c:v>44</c:v>
                </c:pt>
                <c:pt idx="1">
                  <c:v>37</c:v>
                </c:pt>
                <c:pt idx="2">
                  <c:v>21</c:v>
                </c:pt>
                <c:pt idx="3">
                  <c:v>13</c:v>
                </c:pt>
                <c:pt idx="4">
                  <c:v>85</c:v>
                </c:pt>
                <c:pt idx="5">
                  <c:v>44</c:v>
                </c:pt>
                <c:pt idx="6">
                  <c:v>13</c:v>
                </c:pt>
                <c:pt idx="7">
                  <c:v>5</c:v>
                </c:pt>
                <c:pt idx="8">
                  <c:v>1</c:v>
                </c:pt>
                <c:pt idx="9">
                  <c:v>57</c:v>
                </c:pt>
                <c:pt idx="10">
                  <c:v>3</c:v>
                </c:pt>
                <c:pt idx="1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FC-4128-9E15-974C6CA0F2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67292128"/>
        <c:axId val="1367293376"/>
      </c:barChart>
      <c:catAx>
        <c:axId val="1367292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367293376"/>
        <c:crosses val="autoZero"/>
        <c:auto val="1"/>
        <c:lblAlgn val="ctr"/>
        <c:lblOffset val="100"/>
        <c:noMultiLvlLbl val="0"/>
      </c:catAx>
      <c:valAx>
        <c:axId val="1367293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3672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RAPOR2!$S$9</c:f>
              <c:strCache>
                <c:ptCount val="1"/>
                <c:pt idx="0">
                  <c:v>MASA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RAPOR2!$N$11:$N$22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RAPOR2!$S$11:$S$22</c:f>
              <c:numCache>
                <c:formatCode>#,##0</c:formatCode>
                <c:ptCount val="12"/>
                <c:pt idx="0">
                  <c:v>7</c:v>
                </c:pt>
                <c:pt idx="1">
                  <c:v>34</c:v>
                </c:pt>
                <c:pt idx="2">
                  <c:v>16</c:v>
                </c:pt>
                <c:pt idx="3">
                  <c:v>16</c:v>
                </c:pt>
                <c:pt idx="4">
                  <c:v>33</c:v>
                </c:pt>
                <c:pt idx="5">
                  <c:v>46</c:v>
                </c:pt>
                <c:pt idx="6">
                  <c:v>4</c:v>
                </c:pt>
                <c:pt idx="7">
                  <c:v>37</c:v>
                </c:pt>
                <c:pt idx="8">
                  <c:v>4</c:v>
                </c:pt>
                <c:pt idx="9">
                  <c:v>0</c:v>
                </c:pt>
                <c:pt idx="10">
                  <c:v>107</c:v>
                </c:pt>
                <c:pt idx="1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6-48BF-A833-465F8E0FB7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67292128"/>
        <c:axId val="1367293376"/>
      </c:barChart>
      <c:catAx>
        <c:axId val="1367292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367293376"/>
        <c:crosses val="autoZero"/>
        <c:auto val="1"/>
        <c:lblAlgn val="ctr"/>
        <c:lblOffset val="100"/>
        <c:noMultiLvlLbl val="0"/>
      </c:catAx>
      <c:valAx>
        <c:axId val="1367293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3672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RAPOR2!$U$9</c:f>
              <c:strCache>
                <c:ptCount val="1"/>
                <c:pt idx="0">
                  <c:v>TOPLAM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RAPOR2!$N$11:$N$22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RAPOR2!$U$11:$U$22</c:f>
              <c:numCache>
                <c:formatCode>#,##0</c:formatCode>
                <c:ptCount val="12"/>
                <c:pt idx="0">
                  <c:v>52</c:v>
                </c:pt>
                <c:pt idx="1">
                  <c:v>79</c:v>
                </c:pt>
                <c:pt idx="2">
                  <c:v>99</c:v>
                </c:pt>
                <c:pt idx="3">
                  <c:v>65</c:v>
                </c:pt>
                <c:pt idx="4">
                  <c:v>125</c:v>
                </c:pt>
                <c:pt idx="5">
                  <c:v>107</c:v>
                </c:pt>
                <c:pt idx="6">
                  <c:v>45</c:v>
                </c:pt>
                <c:pt idx="7">
                  <c:v>72</c:v>
                </c:pt>
                <c:pt idx="8">
                  <c:v>14</c:v>
                </c:pt>
                <c:pt idx="9">
                  <c:v>65</c:v>
                </c:pt>
                <c:pt idx="10">
                  <c:v>142</c:v>
                </c:pt>
                <c:pt idx="11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7-4309-8795-C1D754B95C9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67292128"/>
        <c:axId val="1367293376"/>
      </c:barChart>
      <c:catAx>
        <c:axId val="1367292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367293376"/>
        <c:crosses val="autoZero"/>
        <c:auto val="1"/>
        <c:lblAlgn val="ctr"/>
        <c:lblOffset val="100"/>
        <c:noMultiLvlLbl val="0"/>
      </c:catAx>
      <c:valAx>
        <c:axId val="1367293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3672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RAPOR2!$O$9</c:f>
              <c:strCache>
                <c:ptCount val="1"/>
                <c:pt idx="0">
                  <c:v>RAF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RAPOR2!$N$11:$N$22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RAPOR2!$P$11:$P$22</c:f>
              <c:numCache>
                <c:formatCode>#,##0</c:formatCode>
                <c:ptCount val="12"/>
                <c:pt idx="0">
                  <c:v>1250</c:v>
                </c:pt>
                <c:pt idx="1">
                  <c:v>10000</c:v>
                </c:pt>
                <c:pt idx="2">
                  <c:v>77500</c:v>
                </c:pt>
                <c:pt idx="3">
                  <c:v>45000</c:v>
                </c:pt>
                <c:pt idx="4">
                  <c:v>8750</c:v>
                </c:pt>
                <c:pt idx="5">
                  <c:v>21250</c:v>
                </c:pt>
                <c:pt idx="6">
                  <c:v>35000</c:v>
                </c:pt>
                <c:pt idx="7">
                  <c:v>37500</c:v>
                </c:pt>
                <c:pt idx="8">
                  <c:v>11250</c:v>
                </c:pt>
                <c:pt idx="9">
                  <c:v>10000</c:v>
                </c:pt>
                <c:pt idx="10">
                  <c:v>40000</c:v>
                </c:pt>
                <c:pt idx="11">
                  <c:v>33750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E-4D80-A73D-83E77CAEB7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67292128"/>
        <c:axId val="1367293376"/>
      </c:barChart>
      <c:catAx>
        <c:axId val="1367292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367293376"/>
        <c:crosses val="autoZero"/>
        <c:auto val="1"/>
        <c:lblAlgn val="ctr"/>
        <c:lblOffset val="100"/>
        <c:noMultiLvlLbl val="0"/>
      </c:catAx>
      <c:valAx>
        <c:axId val="1367293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3672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RAPOR2!$Q$9</c:f>
              <c:strCache>
                <c:ptCount val="1"/>
                <c:pt idx="0">
                  <c:v>KİTAPLIK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RAPOR2!$N$11:$N$22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RAPOR2!$R$11:$R$22</c:f>
              <c:numCache>
                <c:formatCode>#,##0</c:formatCode>
                <c:ptCount val="12"/>
                <c:pt idx="0">
                  <c:v>374000</c:v>
                </c:pt>
                <c:pt idx="1">
                  <c:v>314500</c:v>
                </c:pt>
                <c:pt idx="2">
                  <c:v>178500</c:v>
                </c:pt>
                <c:pt idx="3">
                  <c:v>110500</c:v>
                </c:pt>
                <c:pt idx="4">
                  <c:v>722500</c:v>
                </c:pt>
                <c:pt idx="5">
                  <c:v>374000</c:v>
                </c:pt>
                <c:pt idx="6">
                  <c:v>110500</c:v>
                </c:pt>
                <c:pt idx="7">
                  <c:v>42500</c:v>
                </c:pt>
                <c:pt idx="8">
                  <c:v>8500</c:v>
                </c:pt>
                <c:pt idx="9">
                  <c:v>484500</c:v>
                </c:pt>
                <c:pt idx="10">
                  <c:v>25500</c:v>
                </c:pt>
                <c:pt idx="11">
                  <c:v>272000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FC-4128-9E15-974C6CA0F2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67292128"/>
        <c:axId val="1367293376"/>
      </c:barChart>
      <c:catAx>
        <c:axId val="1367292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367293376"/>
        <c:crosses val="autoZero"/>
        <c:auto val="1"/>
        <c:lblAlgn val="ctr"/>
        <c:lblOffset val="100"/>
        <c:noMultiLvlLbl val="0"/>
      </c:catAx>
      <c:valAx>
        <c:axId val="1367293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3672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RAPOR2!$S$9</c:f>
              <c:strCache>
                <c:ptCount val="1"/>
                <c:pt idx="0">
                  <c:v>MASA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RAPOR2!$N$11:$N$22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RAPOR2!$T$11:$T$22</c:f>
              <c:numCache>
                <c:formatCode>#,##0</c:formatCode>
                <c:ptCount val="12"/>
                <c:pt idx="0">
                  <c:v>9800</c:v>
                </c:pt>
                <c:pt idx="1">
                  <c:v>47600</c:v>
                </c:pt>
                <c:pt idx="2">
                  <c:v>22400</c:v>
                </c:pt>
                <c:pt idx="3">
                  <c:v>22400</c:v>
                </c:pt>
                <c:pt idx="4">
                  <c:v>46200</c:v>
                </c:pt>
                <c:pt idx="5">
                  <c:v>64400</c:v>
                </c:pt>
                <c:pt idx="6">
                  <c:v>5600</c:v>
                </c:pt>
                <c:pt idx="7">
                  <c:v>51800</c:v>
                </c:pt>
                <c:pt idx="8">
                  <c:v>5600</c:v>
                </c:pt>
                <c:pt idx="9">
                  <c:v>0</c:v>
                </c:pt>
                <c:pt idx="10">
                  <c:v>149800</c:v>
                </c:pt>
                <c:pt idx="11">
                  <c:v>28000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6-48BF-A833-465F8E0FB7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67292128"/>
        <c:axId val="1367293376"/>
      </c:barChart>
      <c:catAx>
        <c:axId val="1367292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367293376"/>
        <c:crosses val="autoZero"/>
        <c:auto val="1"/>
        <c:lblAlgn val="ctr"/>
        <c:lblOffset val="100"/>
        <c:noMultiLvlLbl val="0"/>
      </c:catAx>
      <c:valAx>
        <c:axId val="1367293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3672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RAPOR2!$U$9</c:f>
              <c:strCache>
                <c:ptCount val="1"/>
                <c:pt idx="0">
                  <c:v>TOPLAM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RAPOR2!$N$11:$N$22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RAPOR2!$V$11:$V$22</c:f>
              <c:numCache>
                <c:formatCode>#,##0</c:formatCode>
                <c:ptCount val="12"/>
                <c:pt idx="0">
                  <c:v>385050</c:v>
                </c:pt>
                <c:pt idx="1">
                  <c:v>372100</c:v>
                </c:pt>
                <c:pt idx="2">
                  <c:v>278400</c:v>
                </c:pt>
                <c:pt idx="3">
                  <c:v>177900</c:v>
                </c:pt>
                <c:pt idx="4">
                  <c:v>777450</c:v>
                </c:pt>
                <c:pt idx="5">
                  <c:v>459650</c:v>
                </c:pt>
                <c:pt idx="6">
                  <c:v>151100</c:v>
                </c:pt>
                <c:pt idx="7">
                  <c:v>131800</c:v>
                </c:pt>
                <c:pt idx="8">
                  <c:v>25350</c:v>
                </c:pt>
                <c:pt idx="9">
                  <c:v>494500</c:v>
                </c:pt>
                <c:pt idx="10">
                  <c:v>215300</c:v>
                </c:pt>
                <c:pt idx="11">
                  <c:v>333750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7-4309-8795-C1D754B95C9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367292128"/>
        <c:axId val="1367293376"/>
      </c:barChart>
      <c:catAx>
        <c:axId val="1367292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367293376"/>
        <c:crosses val="autoZero"/>
        <c:auto val="1"/>
        <c:lblAlgn val="ctr"/>
        <c:lblOffset val="100"/>
        <c:noMultiLvlLbl val="0"/>
      </c:catAx>
      <c:valAx>
        <c:axId val="1367293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36729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RAPOR3!$Y$11</c:f>
          <c:strCache>
            <c:ptCount val="1"/>
            <c:pt idx="0">
              <c:v>KONYA TOPLAM</c:v>
            </c:pt>
          </c:strCache>
        </c:strRef>
      </c:tx>
      <c:overlay val="0"/>
      <c:spPr>
        <a:noFill/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FF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  <a:reflection blurRad="6350" stA="55000" endA="300" endPos="45500" dir="5400000" sy="-100000" algn="bl" rotWithShape="0"/>
              </a:effectLst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ADET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RAPOR3!$W$15:$W$26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RAPOR3!$X$15:$X$26</c:f>
              <c:numCache>
                <c:formatCode>#,##0</c:formatCode>
                <c:ptCount val="12"/>
                <c:pt idx="0">
                  <c:v>96</c:v>
                </c:pt>
                <c:pt idx="1">
                  <c:v>35</c:v>
                </c:pt>
                <c:pt idx="2">
                  <c:v>78</c:v>
                </c:pt>
                <c:pt idx="3">
                  <c:v>33</c:v>
                </c:pt>
                <c:pt idx="4">
                  <c:v>79</c:v>
                </c:pt>
                <c:pt idx="5">
                  <c:v>136</c:v>
                </c:pt>
                <c:pt idx="6">
                  <c:v>84</c:v>
                </c:pt>
                <c:pt idx="7">
                  <c:v>136</c:v>
                </c:pt>
                <c:pt idx="8">
                  <c:v>20</c:v>
                </c:pt>
                <c:pt idx="9">
                  <c:v>51</c:v>
                </c:pt>
                <c:pt idx="10">
                  <c:v>35</c:v>
                </c:pt>
                <c:pt idx="11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71-44C0-8201-2B8F8A50B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76620224"/>
        <c:axId val="1876622720"/>
      </c:barChart>
      <c:lineChart>
        <c:grouping val="standard"/>
        <c:varyColors val="0"/>
        <c:ser>
          <c:idx val="1"/>
          <c:order val="1"/>
          <c:tx>
            <c:v>TUTAR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RAPOR3!$W$15:$W$26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RAPOR3!$Y$15:$Y$26</c:f>
              <c:numCache>
                <c:formatCode>#,##0</c:formatCode>
                <c:ptCount val="12"/>
                <c:pt idx="0">
                  <c:v>346950</c:v>
                </c:pt>
                <c:pt idx="1">
                  <c:v>102500</c:v>
                </c:pt>
                <c:pt idx="2">
                  <c:v>168000</c:v>
                </c:pt>
                <c:pt idx="3">
                  <c:v>109050</c:v>
                </c:pt>
                <c:pt idx="4">
                  <c:v>225450</c:v>
                </c:pt>
                <c:pt idx="5">
                  <c:v>827600</c:v>
                </c:pt>
                <c:pt idx="6">
                  <c:v>374300</c:v>
                </c:pt>
                <c:pt idx="7">
                  <c:v>753000</c:v>
                </c:pt>
                <c:pt idx="8">
                  <c:v>62900</c:v>
                </c:pt>
                <c:pt idx="9">
                  <c:v>65400</c:v>
                </c:pt>
                <c:pt idx="10">
                  <c:v>103550</c:v>
                </c:pt>
                <c:pt idx="11">
                  <c:v>916750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71-44C0-8201-2B8F8A50B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4970592"/>
        <c:axId val="1824970176"/>
      </c:lineChart>
      <c:catAx>
        <c:axId val="182497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824970176"/>
        <c:crosses val="autoZero"/>
        <c:auto val="1"/>
        <c:lblAlgn val="ctr"/>
        <c:lblOffset val="100"/>
        <c:noMultiLvlLbl val="0"/>
      </c:catAx>
      <c:valAx>
        <c:axId val="182497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824970592"/>
        <c:crosses val="autoZero"/>
        <c:crossBetween val="between"/>
      </c:valAx>
      <c:valAx>
        <c:axId val="1876622720"/>
        <c:scaling>
          <c:orientation val="minMax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876620224"/>
        <c:crosses val="max"/>
        <c:crossBetween val="between"/>
      </c:valAx>
      <c:catAx>
        <c:axId val="18766202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87662272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890016920473773E-2"/>
          <c:y val="4.8296699281878609E-2"/>
          <c:w val="0.97021996615905248"/>
          <c:h val="0.8820240391523793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RAPOR4!$V$9:$AG$9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NİSAN</c:v>
                </c:pt>
                <c:pt idx="4">
                  <c:v>MAYIS</c:v>
                </c:pt>
                <c:pt idx="5">
                  <c:v>HAZİRAN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EKİM</c:v>
                </c:pt>
                <c:pt idx="10">
                  <c:v>KASIM</c:v>
                </c:pt>
                <c:pt idx="11">
                  <c:v>ARALIK</c:v>
                </c:pt>
              </c:strCache>
            </c:strRef>
          </c:cat>
          <c:val>
            <c:numRef>
              <c:f>[0]!dinamikgrafik</c:f>
              <c:numCache>
                <c:formatCode>#,##0</c:formatCode>
                <c:ptCount val="12"/>
                <c:pt idx="0">
                  <c:v>29550</c:v>
                </c:pt>
                <c:pt idx="1">
                  <c:v>373200</c:v>
                </c:pt>
                <c:pt idx="2">
                  <c:v>92950</c:v>
                </c:pt>
                <c:pt idx="3">
                  <c:v>913550</c:v>
                </c:pt>
                <c:pt idx="4">
                  <c:v>176600</c:v>
                </c:pt>
                <c:pt idx="5">
                  <c:v>450800</c:v>
                </c:pt>
                <c:pt idx="6">
                  <c:v>314850</c:v>
                </c:pt>
                <c:pt idx="7">
                  <c:v>448950</c:v>
                </c:pt>
                <c:pt idx="8">
                  <c:v>186350</c:v>
                </c:pt>
                <c:pt idx="9">
                  <c:v>354750</c:v>
                </c:pt>
                <c:pt idx="10">
                  <c:v>504500</c:v>
                </c:pt>
                <c:pt idx="11">
                  <c:v>387550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1-4424-8AFF-CD4A74B88E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64422543"/>
        <c:axId val="1721254607"/>
      </c:barChart>
      <c:catAx>
        <c:axId val="156442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721254607"/>
        <c:crosses val="autoZero"/>
        <c:auto val="1"/>
        <c:lblAlgn val="ctr"/>
        <c:lblOffset val="100"/>
        <c:noMultiLvlLbl val="0"/>
      </c:catAx>
      <c:valAx>
        <c:axId val="1721254607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564422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993128446167371E-2"/>
          <c:y val="0.11580044636670792"/>
          <c:w val="0.95601374310766529"/>
          <c:h val="0.802325004985292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F-4368-BECB-91DC5FFF4FAA}"/>
              </c:ext>
            </c:extLst>
          </c:dPt>
          <c:dPt>
            <c:idx val="2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F-4368-BECB-91DC5FFF4FAA}"/>
              </c:ext>
            </c:extLst>
          </c:dPt>
          <c:cat>
            <c:strRef>
              <c:f>RAPOR5!$E$26:$E$28</c:f>
              <c:strCache>
                <c:ptCount val="3"/>
                <c:pt idx="0">
                  <c:v>RAF</c:v>
                </c:pt>
                <c:pt idx="1">
                  <c:v>KİTAPLIK</c:v>
                </c:pt>
                <c:pt idx="2">
                  <c:v>MASA</c:v>
                </c:pt>
              </c:strCache>
            </c:strRef>
          </c:cat>
          <c:val>
            <c:numRef>
              <c:f>RAPOR5!$G$26:$G$28</c:f>
              <c:numCache>
                <c:formatCode>0%</c:formatCode>
                <c:ptCount val="3"/>
                <c:pt idx="0">
                  <c:v>0.63292011019283756</c:v>
                </c:pt>
                <c:pt idx="1">
                  <c:v>0.56396648044692743</c:v>
                </c:pt>
                <c:pt idx="2">
                  <c:v>0.55066577896138491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F-4368-BECB-91DC5FFF4FAA}"/>
            </c:ext>
          </c:extLst>
        </c:ser>
        <c:ser>
          <c:idx val="1"/>
          <c:order val="1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1" i="0" u="none" strike="noStrike" kern="1200" baseline="0">
                        <a:solidFill>
                          <a:srgbClr val="FF0000"/>
                        </a:solidFill>
                        <a:latin typeface="Agency FB" panose="020B0503020202020204" pitchFamily="34" charset="0"/>
                        <a:ea typeface="+mn-ea"/>
                        <a:cs typeface="+mn-cs"/>
                      </a:defRPr>
                    </a:pPr>
                    <a:fld id="{E2E8696E-1F8B-4158-BAA6-B56C014EF49B}" type="CELLRANGE">
                      <a:rPr lang="en-US"/>
                      <a:pPr>
                        <a:defRPr sz="1600" b="1">
                          <a:solidFill>
                            <a:srgbClr val="FF0000"/>
                          </a:solidFill>
                          <a:latin typeface="Agency FB" panose="020B0503020202020204" pitchFamily="34" charset="0"/>
                        </a:defRPr>
                      </a:pPr>
                      <a:t>[CELLRANGE]</a:t>
                    </a:fld>
                    <a:endParaRPr lang="tr-T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FF0000"/>
                      </a:solidFill>
                      <a:latin typeface="Agency FB" panose="020B0503020202020204" pitchFamily="34" charset="0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7F-4368-BECB-91DC5FFF4FA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1" i="0" u="none" strike="noStrike" kern="1200" baseline="0">
                        <a:solidFill>
                          <a:schemeClr val="accent6">
                            <a:lumMod val="75000"/>
                          </a:schemeClr>
                        </a:solidFill>
                        <a:latin typeface="Agency FB" panose="020B0503020202020204" pitchFamily="34" charset="0"/>
                        <a:ea typeface="+mn-ea"/>
                        <a:cs typeface="+mn-cs"/>
                      </a:defRPr>
                    </a:pPr>
                    <a:fld id="{04E8A495-7CC1-4FD7-9848-A83B06FF7522}" type="CELLRANGE">
                      <a:rPr lang="en-US"/>
                      <a:pPr>
                        <a:defRPr sz="1600" b="1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Agency FB" panose="020B0503020202020204" pitchFamily="34" charset="0"/>
                        </a:defRPr>
                      </a:pPr>
                      <a:t>[CELLRANGE]</a:t>
                    </a:fld>
                    <a:endParaRPr lang="tr-T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Agency FB" panose="020B0503020202020204" pitchFamily="34" charset="0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7F-4368-BECB-91DC5FFF4FA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1" i="0" u="none" strike="noStrike" kern="1200" baseline="0">
                        <a:solidFill>
                          <a:srgbClr val="0070C0"/>
                        </a:solidFill>
                        <a:latin typeface="Agency FB" panose="020B0503020202020204" pitchFamily="34" charset="0"/>
                        <a:ea typeface="+mn-ea"/>
                        <a:cs typeface="+mn-cs"/>
                      </a:defRPr>
                    </a:pPr>
                    <a:fld id="{B72978DE-32FE-4591-9E7B-BA50A577D144}" type="CELLRANGE">
                      <a:rPr lang="en-US"/>
                      <a:pPr>
                        <a:defRPr sz="1600" b="1">
                          <a:solidFill>
                            <a:srgbClr val="0070C0"/>
                          </a:solidFill>
                          <a:latin typeface="Agency FB" panose="020B0503020202020204" pitchFamily="34" charset="0"/>
                        </a:defRPr>
                      </a:pPr>
                      <a:t>[CELLRANGE]</a:t>
                    </a:fld>
                    <a:endParaRPr lang="tr-T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070C0"/>
                      </a:solidFill>
                      <a:latin typeface="Agency FB" panose="020B0503020202020204" pitchFamily="34" charset="0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7F-4368-BECB-91DC5FFF4F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RAPOR5!$E$26:$E$28</c:f>
              <c:strCache>
                <c:ptCount val="3"/>
                <c:pt idx="0">
                  <c:v>RAF</c:v>
                </c:pt>
                <c:pt idx="1">
                  <c:v>KİTAPLIK</c:v>
                </c:pt>
                <c:pt idx="2">
                  <c:v>MASA</c:v>
                </c:pt>
              </c:strCache>
            </c:strRef>
          </c:cat>
          <c:val>
            <c:numRef>
              <c:f>RAPOR5!$H$26:$H$28</c:f>
              <c:numCache>
                <c:formatCode>0%</c:formatCode>
                <c:ptCount val="3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RAPOR5!$F$26:$F$28</c15:f>
                <c15:dlblRangeCache>
                  <c:ptCount val="3"/>
                  <c:pt idx="0">
                    <c:v>58%</c:v>
                  </c:pt>
                  <c:pt idx="1">
                    <c:v>51%</c:v>
                  </c:pt>
                  <c:pt idx="2">
                    <c:v>50%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3F7F-4368-BECB-91DC5FFF4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85802576"/>
        <c:axId val="2014082336"/>
      </c:barChart>
      <c:catAx>
        <c:axId val="1858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rgbClr val="FFC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tr-TR"/>
          </a:p>
        </c:txPr>
        <c:crossAx val="2014082336"/>
        <c:crosses val="autoZero"/>
        <c:auto val="1"/>
        <c:lblAlgn val="ctr"/>
        <c:lblOffset val="100"/>
        <c:noMultiLvlLbl val="0"/>
      </c:catAx>
      <c:valAx>
        <c:axId val="2014082336"/>
        <c:scaling>
          <c:orientation val="minMax"/>
          <c:max val="1.1000000000000001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18580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$A$9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0" Type="http://schemas.openxmlformats.org/officeDocument/2006/relationships/image" Target="../media/image13.png"/><Relationship Id="rId4" Type="http://schemas.openxmlformats.org/officeDocument/2006/relationships/image" Target="../media/image8.svg"/><Relationship Id="rId9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28.svg"/><Relationship Id="rId3" Type="http://schemas.openxmlformats.org/officeDocument/2006/relationships/image" Target="../media/image18.svg"/><Relationship Id="rId7" Type="http://schemas.openxmlformats.org/officeDocument/2006/relationships/image" Target="../media/image22.svg"/><Relationship Id="rId12" Type="http://schemas.openxmlformats.org/officeDocument/2006/relationships/image" Target="../media/image27.png"/><Relationship Id="rId2" Type="http://schemas.openxmlformats.org/officeDocument/2006/relationships/image" Target="../media/image17.png"/><Relationship Id="rId1" Type="http://schemas.openxmlformats.org/officeDocument/2006/relationships/chart" Target="../charts/chart13.xml"/><Relationship Id="rId6" Type="http://schemas.openxmlformats.org/officeDocument/2006/relationships/image" Target="../media/image21.png"/><Relationship Id="rId11" Type="http://schemas.openxmlformats.org/officeDocument/2006/relationships/image" Target="../media/image26.svg"/><Relationship Id="rId5" Type="http://schemas.openxmlformats.org/officeDocument/2006/relationships/image" Target="../media/image20.svg"/><Relationship Id="rId10" Type="http://schemas.openxmlformats.org/officeDocument/2006/relationships/image" Target="../media/image25.png"/><Relationship Id="rId4" Type="http://schemas.openxmlformats.org/officeDocument/2006/relationships/image" Target="../media/image19.png"/><Relationship Id="rId9" Type="http://schemas.openxmlformats.org/officeDocument/2006/relationships/image" Target="../media/image24.sv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571500</xdr:colOff>
      <xdr:row>3</xdr:row>
      <xdr:rowOff>47625</xdr:rowOff>
    </xdr:from>
    <xdr:to>
      <xdr:col>23</xdr:col>
      <xdr:colOff>273843</xdr:colOff>
      <xdr:row>11</xdr:row>
      <xdr:rowOff>95250</xdr:rowOff>
    </xdr:to>
    <xdr:sp macro="" textlink="">
      <xdr:nvSpPr>
        <xdr:cNvPr id="2" name="Yuvarlatılmış Dikdört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394156" y="619125"/>
          <a:ext cx="3952875" cy="15716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47625</xdr:colOff>
      <xdr:row>6</xdr:row>
      <xdr:rowOff>95250</xdr:rowOff>
    </xdr:from>
    <xdr:to>
      <xdr:col>3</xdr:col>
      <xdr:colOff>238125</xdr:colOff>
      <xdr:row>10</xdr:row>
      <xdr:rowOff>11906</xdr:rowOff>
    </xdr:to>
    <xdr:sp macro="[0]!RAPOR1" textlink="">
      <xdr:nvSpPr>
        <xdr:cNvPr id="14" name="Dolu Çerçev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7625" y="1238250"/>
          <a:ext cx="2012156" cy="678656"/>
        </a:xfrm>
        <a:prstGeom prst="bevel">
          <a:avLst/>
        </a:prstGeom>
        <a:solidFill>
          <a:schemeClr val="tx1"/>
        </a:solidFill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rgbClr val="FF0000"/>
              </a:solidFill>
            </a:rPr>
            <a:t>    </a:t>
          </a:r>
        </a:p>
        <a:p>
          <a:pPr algn="l"/>
          <a:r>
            <a:rPr lang="tr-TR" sz="1200">
              <a:solidFill>
                <a:srgbClr val="FF0000"/>
              </a:solidFill>
              <a:latin typeface="Arial Narrow" panose="020B0606020202030204" pitchFamily="34" charset="0"/>
            </a:rPr>
            <a:t>   </a:t>
          </a:r>
          <a:r>
            <a:rPr lang="tr-TR" sz="1200" baseline="0">
              <a:solidFill>
                <a:srgbClr val="FF0000"/>
              </a:solidFill>
              <a:latin typeface="Arial Narrow" panose="020B0606020202030204" pitchFamily="34" charset="0"/>
            </a:rPr>
            <a:t>  </a:t>
          </a:r>
          <a:r>
            <a:rPr lang="tr-TR" sz="1200" b="1">
              <a:solidFill>
                <a:srgbClr val="FF0000"/>
              </a:solidFill>
              <a:latin typeface="Arial Narrow" panose="020B0606020202030204" pitchFamily="34" charset="0"/>
            </a:rPr>
            <a:t>GENEL</a:t>
          </a:r>
          <a:r>
            <a:rPr lang="tr-TR" sz="1200" b="1" baseline="0">
              <a:solidFill>
                <a:srgbClr val="FF0000"/>
              </a:solidFill>
              <a:latin typeface="Arial Narrow" panose="020B0606020202030204" pitchFamily="34" charset="0"/>
            </a:rPr>
            <a:t> SATIŞ RAPORU</a:t>
          </a:r>
          <a:endParaRPr lang="tr-TR" sz="1200" b="1">
            <a:solidFill>
              <a:srgbClr val="FF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0</xdr:col>
      <xdr:colOff>11906</xdr:colOff>
      <xdr:row>14</xdr:row>
      <xdr:rowOff>83343</xdr:rowOff>
    </xdr:from>
    <xdr:to>
      <xdr:col>3</xdr:col>
      <xdr:colOff>202406</xdr:colOff>
      <xdr:row>17</xdr:row>
      <xdr:rowOff>190499</xdr:rowOff>
    </xdr:to>
    <xdr:sp macro="[0]!rapor2" textlink="">
      <xdr:nvSpPr>
        <xdr:cNvPr id="15" name="Dolu Çerçev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906" y="2750343"/>
          <a:ext cx="2012156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BÖLGE SATIŞ RAPORU</a:t>
          </a:r>
        </a:p>
      </xdr:txBody>
    </xdr:sp>
    <xdr:clientData/>
  </xdr:twoCellAnchor>
  <xdr:twoCellAnchor>
    <xdr:from>
      <xdr:col>0</xdr:col>
      <xdr:colOff>11906</xdr:colOff>
      <xdr:row>23</xdr:row>
      <xdr:rowOff>59533</xdr:rowOff>
    </xdr:from>
    <xdr:to>
      <xdr:col>3</xdr:col>
      <xdr:colOff>202406</xdr:colOff>
      <xdr:row>26</xdr:row>
      <xdr:rowOff>166689</xdr:rowOff>
    </xdr:to>
    <xdr:sp macro="[0]!RAPOR3" textlink="">
      <xdr:nvSpPr>
        <xdr:cNvPr id="16" name="Dolu Çerçev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1906" y="4441033"/>
          <a:ext cx="2012156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ŞUBE SATIŞ RAPORU</a:t>
          </a:r>
        </a:p>
      </xdr:txBody>
    </xdr:sp>
    <xdr:clientData/>
  </xdr:twoCellAnchor>
  <xdr:twoCellAnchor>
    <xdr:from>
      <xdr:col>0</xdr:col>
      <xdr:colOff>11906</xdr:colOff>
      <xdr:row>32</xdr:row>
      <xdr:rowOff>83344</xdr:rowOff>
    </xdr:from>
    <xdr:to>
      <xdr:col>3</xdr:col>
      <xdr:colOff>202406</xdr:colOff>
      <xdr:row>36</xdr:row>
      <xdr:rowOff>0</xdr:rowOff>
    </xdr:to>
    <xdr:sp macro="[0]!RAPOR4" textlink="">
      <xdr:nvSpPr>
        <xdr:cNvPr id="17" name="Dolu Çerçev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906" y="6179344"/>
          <a:ext cx="2012156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l"/>
          <a:r>
            <a:rPr lang="tr-TR" sz="1100"/>
            <a:t>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TEMSİLCİ SATIŞ RAPORU</a:t>
          </a:r>
        </a:p>
      </xdr:txBody>
    </xdr:sp>
    <xdr:clientData/>
  </xdr:twoCellAnchor>
  <xdr:twoCellAnchor>
    <xdr:from>
      <xdr:col>0</xdr:col>
      <xdr:colOff>11906</xdr:colOff>
      <xdr:row>39</xdr:row>
      <xdr:rowOff>178594</xdr:rowOff>
    </xdr:from>
    <xdr:to>
      <xdr:col>3</xdr:col>
      <xdr:colOff>202406</xdr:colOff>
      <xdr:row>43</xdr:row>
      <xdr:rowOff>95250</xdr:rowOff>
    </xdr:to>
    <xdr:sp macro="[0]!RAPOR5" textlink="">
      <xdr:nvSpPr>
        <xdr:cNvPr id="18" name="Dolu Çerçev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11906" y="7608094"/>
          <a:ext cx="2012156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HEDEF SATIŞ RAPORU</a:t>
          </a:r>
        </a:p>
      </xdr:txBody>
    </xdr:sp>
    <xdr:clientData/>
  </xdr:twoCellAnchor>
  <xdr:twoCellAnchor>
    <xdr:from>
      <xdr:col>0</xdr:col>
      <xdr:colOff>11905</xdr:colOff>
      <xdr:row>0</xdr:row>
      <xdr:rowOff>190498</xdr:rowOff>
    </xdr:from>
    <xdr:to>
      <xdr:col>6</xdr:col>
      <xdr:colOff>464343</xdr:colOff>
      <xdr:row>5</xdr:row>
      <xdr:rowOff>23811</xdr:rowOff>
    </xdr:to>
    <xdr:sp macro="" textlink="">
      <xdr:nvSpPr>
        <xdr:cNvPr id="19" name="Çerçev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1905" y="190498"/>
          <a:ext cx="4095751" cy="785813"/>
        </a:xfrm>
        <a:prstGeom prst="frame">
          <a:avLst/>
        </a:prstGeom>
        <a:solidFill>
          <a:schemeClr val="accent2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tr-TR" sz="2400"/>
            <a:t>     </a:t>
          </a:r>
          <a:r>
            <a:rPr lang="tr-TR" sz="2400" b="0" cap="none" spc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Arial Narrow" panose="020B0606020202030204" pitchFamily="34" charset="0"/>
            </a:rPr>
            <a:t>GENEL</a:t>
          </a:r>
          <a:r>
            <a:rPr lang="tr-TR" sz="2400" b="0" cap="none" spc="0" baseline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Arial Narrow" panose="020B0606020202030204" pitchFamily="34" charset="0"/>
            </a:rPr>
            <a:t> SATIŞ RAPORU</a:t>
          </a:r>
          <a:endParaRPr lang="tr-TR" sz="2400" b="0" cap="none" spc="0">
            <a:ln w="0"/>
            <a:solidFill>
              <a:schemeClr val="accent2">
                <a:lumMod val="7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3</xdr:row>
          <xdr:rowOff>85725</xdr:rowOff>
        </xdr:from>
        <xdr:to>
          <xdr:col>20</xdr:col>
          <xdr:colOff>0</xdr:colOff>
          <xdr:row>4</xdr:row>
          <xdr:rowOff>171450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69696" mc:Ignorable="a14" a14:legacySpreadsheetColorIndex="55"/>
            </a:solidFill>
            <a:ln w="9525">
              <a:solidFill>
                <a:srgbClr val="1F497D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</xdr:row>
          <xdr:rowOff>47625</xdr:rowOff>
        </xdr:from>
        <xdr:to>
          <xdr:col>20</xdr:col>
          <xdr:colOff>514350</xdr:colOff>
          <xdr:row>6</xdr:row>
          <xdr:rowOff>152400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69696" mc:Ignorable="a14" a14:legacySpreadsheetColorIndex="55"/>
            </a:solidFill>
            <a:ln w="9525">
              <a:solidFill>
                <a:srgbClr val="000000" mc:Ignorable="a14" a14:legacySpreadsheetColorIndex="64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KİTAPLIK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7</xdr:row>
          <xdr:rowOff>57150</xdr:rowOff>
        </xdr:from>
        <xdr:to>
          <xdr:col>21</xdr:col>
          <xdr:colOff>619125</xdr:colOff>
          <xdr:row>8</xdr:row>
          <xdr:rowOff>180975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69696" mc:Ignorable="a14" a14:legacySpreadsheetColorIndex="55"/>
            </a:solidFill>
            <a:ln w="9525">
              <a:solidFill>
                <a:srgbClr val="000000" mc:Ignorable="a14" a14:legacySpreadsheetColorIndex="64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295275</xdr:colOff>
          <xdr:row>9</xdr:row>
          <xdr:rowOff>95250</xdr:rowOff>
        </xdr:from>
        <xdr:to>
          <xdr:col>23</xdr:col>
          <xdr:colOff>104775</xdr:colOff>
          <xdr:row>11</xdr:row>
          <xdr:rowOff>9525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69696" mc:Ignorable="a14" a14:legacySpreadsheetColorIndex="55"/>
            </a:solidFill>
            <a:ln w="9525">
              <a:solidFill>
                <a:srgbClr val="000000" mc:Ignorable="a14" a14:legacySpreadsheetColorIndex="64"/>
              </a:solidFill>
              <a:prstDash val="dash"/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HEPSİ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23812</xdr:colOff>
      <xdr:row>0</xdr:row>
      <xdr:rowOff>142875</xdr:rowOff>
    </xdr:from>
    <xdr:to>
      <xdr:col>23</xdr:col>
      <xdr:colOff>178593</xdr:colOff>
      <xdr:row>1</xdr:row>
      <xdr:rowOff>190499</xdr:rowOff>
    </xdr:to>
    <xdr:sp macro="" textlink="">
      <xdr:nvSpPr>
        <xdr:cNvPr id="4" name="Aynı Yanın Köşesi Yuvarlatılmış Dikdört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453687" y="142875"/>
          <a:ext cx="3798094" cy="238124"/>
        </a:xfrm>
        <a:prstGeom prst="round2SameRect">
          <a:avLst/>
        </a:prstGeom>
        <a:solidFill>
          <a:schemeClr val="bg2">
            <a:lumMod val="10000"/>
          </a:schemeClr>
        </a:solidFill>
        <a:effectLst>
          <a:reflection blurRad="6350" stA="50000" endA="300" endPos="55000" dir="5400000" sy="-100000" algn="bl" rotWithShape="0"/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rgbClr val="FF0000"/>
              </a:solidFill>
            </a:rPr>
            <a:t>                                </a:t>
          </a:r>
          <a:r>
            <a:rPr lang="tr-TR" sz="1100" b="1">
              <a:solidFill>
                <a:srgbClr val="FF0000"/>
              </a:solidFill>
            </a:rPr>
            <a:t>LÜTFEN ÜRÜN SEÇİNİZ</a:t>
          </a:r>
        </a:p>
      </xdr:txBody>
    </xdr:sp>
    <xdr:clientData/>
  </xdr:twoCellAnchor>
  <xdr:twoCellAnchor>
    <xdr:from>
      <xdr:col>27</xdr:col>
      <xdr:colOff>0</xdr:colOff>
      <xdr:row>1</xdr:row>
      <xdr:rowOff>166687</xdr:rowOff>
    </xdr:from>
    <xdr:to>
      <xdr:col>30</xdr:col>
      <xdr:colOff>119062</xdr:colOff>
      <xdr:row>4</xdr:row>
      <xdr:rowOff>23812</xdr:rowOff>
    </xdr:to>
    <xdr:sp macro="[0]!ortalamaustu" textlink="">
      <xdr:nvSpPr>
        <xdr:cNvPr id="5" name="Dolu Çerçev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990219" y="357187"/>
          <a:ext cx="2035968" cy="428625"/>
        </a:xfrm>
        <a:prstGeom prst="bevel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</a:t>
          </a:r>
          <a:r>
            <a:rPr lang="tr-TR" sz="1100" b="1">
              <a:solidFill>
                <a:schemeClr val="accent2">
                  <a:lumMod val="7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ORTALAMA</a:t>
          </a:r>
          <a:r>
            <a:rPr lang="tr-TR" sz="1100" b="1" baseline="0">
              <a:solidFill>
                <a:schemeClr val="accent2">
                  <a:lumMod val="75000"/>
                </a:schemeClr>
              </a:solidFill>
              <a:effectLst>
                <a:reflection blurRad="6350" stA="55000" endA="300" endPos="45500" dir="5400000" sy="-100000" algn="bl" rotWithShape="0"/>
              </a:effectLst>
            </a:rPr>
            <a:t> ÜSTÜ</a:t>
          </a:r>
          <a:endParaRPr lang="tr-TR" sz="1100" b="1">
            <a:solidFill>
              <a:schemeClr val="accent2">
                <a:lumMod val="75000"/>
              </a:schemeClr>
            </a:solidFill>
            <a:effectLst>
              <a:reflection blurRad="6350" stA="55000" endA="300" endPos="45500" dir="5400000" sy="-100000" algn="bl" rotWithShape="0"/>
            </a:effectLst>
          </a:endParaRPr>
        </a:p>
      </xdr:txBody>
    </xdr:sp>
    <xdr:clientData/>
  </xdr:twoCellAnchor>
  <xdr:twoCellAnchor>
    <xdr:from>
      <xdr:col>27</xdr:col>
      <xdr:colOff>0</xdr:colOff>
      <xdr:row>5</xdr:row>
      <xdr:rowOff>0</xdr:rowOff>
    </xdr:from>
    <xdr:to>
      <xdr:col>30</xdr:col>
      <xdr:colOff>119062</xdr:colOff>
      <xdr:row>7</xdr:row>
      <xdr:rowOff>47625</xdr:rowOff>
    </xdr:to>
    <xdr:sp macro="[0]!ortalamaaltı" textlink="">
      <xdr:nvSpPr>
        <xdr:cNvPr id="22" name="Dolu Çerçev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6990219" y="952500"/>
          <a:ext cx="2035968" cy="428625"/>
        </a:xfrm>
        <a:prstGeom prst="bevel">
          <a:avLst/>
        </a:prstGeom>
        <a:solidFill>
          <a:srgbClr val="FF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</a:t>
          </a:r>
          <a:r>
            <a:rPr lang="tr-TR" sz="1100" b="1">
              <a:solidFill>
                <a:schemeClr val="tx1"/>
              </a:solidFill>
              <a:effectLst>
                <a:reflection blurRad="6350" stA="55000" endA="300" endPos="45500" dir="5400000" sy="-100000" algn="bl" rotWithShape="0"/>
              </a:effectLst>
            </a:rPr>
            <a:t>ORTALAMA ALTI</a:t>
          </a:r>
        </a:p>
      </xdr:txBody>
    </xdr:sp>
    <xdr:clientData/>
  </xdr:twoCellAnchor>
  <xdr:twoCellAnchor>
    <xdr:from>
      <xdr:col>27</xdr:col>
      <xdr:colOff>0</xdr:colOff>
      <xdr:row>8</xdr:row>
      <xdr:rowOff>0</xdr:rowOff>
    </xdr:from>
    <xdr:to>
      <xdr:col>30</xdr:col>
      <xdr:colOff>119062</xdr:colOff>
      <xdr:row>10</xdr:row>
      <xdr:rowOff>47625</xdr:rowOff>
    </xdr:to>
    <xdr:sp macro="[0]!bıcımtemizle" textlink="">
      <xdr:nvSpPr>
        <xdr:cNvPr id="23" name="Dolu Çerçev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6990219" y="1524000"/>
          <a:ext cx="2035968" cy="428625"/>
        </a:xfrm>
        <a:prstGeom prst="bevel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</a:t>
          </a:r>
          <a:r>
            <a:rPr lang="tr-TR" sz="1100" b="1">
              <a:effectLst>
                <a:reflection blurRad="6350" stA="55000" endA="300" endPos="45500" dir="5400000" sy="-100000" algn="bl" rotWithShape="0"/>
              </a:effectLst>
            </a:rPr>
            <a:t>ORTALAMALARI</a:t>
          </a:r>
          <a:r>
            <a:rPr lang="tr-TR" sz="1100" b="1" baseline="0">
              <a:effectLst>
                <a:reflection blurRad="6350" stA="55000" endA="300" endPos="45500" dir="5400000" sy="-100000" algn="bl" rotWithShape="0"/>
              </a:effectLst>
            </a:rPr>
            <a:t> TEMİZLE</a:t>
          </a:r>
          <a:endParaRPr lang="tr-TR" sz="1100" b="1">
            <a:effectLst>
              <a:reflection blurRad="6350" stA="55000" endA="300" endPos="45500" dir="5400000" sy="-100000" algn="bl" rotWithShape="0"/>
            </a:effectLst>
          </a:endParaRPr>
        </a:p>
      </xdr:txBody>
    </xdr:sp>
    <xdr:clientData/>
  </xdr:twoCellAnchor>
  <xdr:twoCellAnchor>
    <xdr:from>
      <xdr:col>4</xdr:col>
      <xdr:colOff>35719</xdr:colOff>
      <xdr:row>34</xdr:row>
      <xdr:rowOff>190499</xdr:rowOff>
    </xdr:from>
    <xdr:to>
      <xdr:col>6</xdr:col>
      <xdr:colOff>583406</xdr:colOff>
      <xdr:row>36</xdr:row>
      <xdr:rowOff>47624</xdr:rowOff>
    </xdr:to>
    <xdr:sp macro="" textlink="">
      <xdr:nvSpPr>
        <xdr:cNvPr id="20" name="Aynı Yanın Köşesi Yuvarlatılmış Dikdört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464594" y="6667499"/>
          <a:ext cx="1762125" cy="238125"/>
        </a:xfrm>
        <a:prstGeom prst="round2SameRect">
          <a:avLst>
            <a:gd name="adj1" fmla="val 16667"/>
            <a:gd name="adj2" fmla="val 50000"/>
          </a:avLst>
        </a:prstGeom>
        <a:solidFill>
          <a:schemeClr val="bg2">
            <a:lumMod val="10000"/>
          </a:schemeClr>
        </a:solidFill>
        <a:effectLst>
          <a:reflection blurRad="6350" stA="50000" endA="300" endPos="55000" dir="5400000" sy="-100000" algn="bl" rotWithShape="0"/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rgbClr val="FF0000"/>
              </a:solidFill>
            </a:rPr>
            <a:t>  </a:t>
          </a:r>
          <a:r>
            <a:rPr lang="tr-TR" sz="1100" b="1">
              <a:solidFill>
                <a:srgbClr val="FF0000"/>
              </a:solidFill>
            </a:rPr>
            <a:t>LÜTFEN BÖLGE SEÇİNİZ</a:t>
          </a:r>
        </a:p>
      </xdr:txBody>
    </xdr:sp>
    <xdr:clientData/>
  </xdr:twoCellAnchor>
  <xdr:twoCellAnchor>
    <xdr:from>
      <xdr:col>7</xdr:col>
      <xdr:colOff>666750</xdr:colOff>
      <xdr:row>32</xdr:row>
      <xdr:rowOff>59531</xdr:rowOff>
    </xdr:from>
    <xdr:to>
      <xdr:col>20</xdr:col>
      <xdr:colOff>154781</xdr:colOff>
      <xdr:row>46</xdr:row>
      <xdr:rowOff>178594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523874</xdr:colOff>
      <xdr:row>32</xdr:row>
      <xdr:rowOff>83344</xdr:rowOff>
    </xdr:from>
    <xdr:to>
      <xdr:col>33</xdr:col>
      <xdr:colOff>130969</xdr:colOff>
      <xdr:row>46</xdr:row>
      <xdr:rowOff>166687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</xdr:colOff>
      <xdr:row>6</xdr:row>
      <xdr:rowOff>71437</xdr:rowOff>
    </xdr:from>
    <xdr:to>
      <xdr:col>3</xdr:col>
      <xdr:colOff>202406</xdr:colOff>
      <xdr:row>9</xdr:row>
      <xdr:rowOff>178593</xdr:rowOff>
    </xdr:to>
    <xdr:sp macro="[0]!RAPOR1" textlink="">
      <xdr:nvSpPr>
        <xdr:cNvPr id="2" name="Dolu Çerçev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906" y="1214437"/>
          <a:ext cx="2019300" cy="678656"/>
        </a:xfrm>
        <a:prstGeom prst="bevel">
          <a:avLst/>
        </a:prstGeom>
        <a:solidFill>
          <a:schemeClr val="accent1"/>
        </a:solidFill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rgbClr val="FF0000"/>
              </a:solidFill>
            </a:rPr>
            <a:t>    </a:t>
          </a:r>
        </a:p>
        <a:p>
          <a:pPr algn="l"/>
          <a:r>
            <a:rPr lang="tr-TR" sz="1200">
              <a:solidFill>
                <a:srgbClr val="FF0000"/>
              </a:solidFill>
              <a:latin typeface="Arial Narrow" panose="020B0606020202030204" pitchFamily="34" charset="0"/>
            </a:rPr>
            <a:t>   </a:t>
          </a:r>
          <a:r>
            <a:rPr lang="tr-TR" sz="1200" baseline="0">
              <a:solidFill>
                <a:srgbClr val="FF0000"/>
              </a:solidFill>
              <a:latin typeface="Arial Narrow" panose="020B0606020202030204" pitchFamily="34" charset="0"/>
            </a:rPr>
            <a:t>  </a:t>
          </a:r>
          <a:r>
            <a:rPr lang="tr-TR" sz="1200" b="1">
              <a:solidFill>
                <a:schemeClr val="bg1"/>
              </a:solidFill>
              <a:latin typeface="Arial Narrow" panose="020B0606020202030204" pitchFamily="34" charset="0"/>
            </a:rPr>
            <a:t>GENEL</a:t>
          </a:r>
          <a:r>
            <a:rPr lang="tr-TR" sz="1200" b="1" baseline="0">
              <a:solidFill>
                <a:schemeClr val="bg1"/>
              </a:solidFill>
              <a:latin typeface="Arial Narrow" panose="020B0606020202030204" pitchFamily="34" charset="0"/>
            </a:rPr>
            <a:t> SATIŞ RAPORU</a:t>
          </a:r>
          <a:endParaRPr lang="tr-TR" sz="1200" b="1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0</xdr:col>
      <xdr:colOff>11905</xdr:colOff>
      <xdr:row>14</xdr:row>
      <xdr:rowOff>130968</xdr:rowOff>
    </xdr:from>
    <xdr:to>
      <xdr:col>3</xdr:col>
      <xdr:colOff>202405</xdr:colOff>
      <xdr:row>18</xdr:row>
      <xdr:rowOff>47624</xdr:rowOff>
    </xdr:to>
    <xdr:sp macro="[0]!rapor2" textlink="">
      <xdr:nvSpPr>
        <xdr:cNvPr id="3" name="Dolu Çerçev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1905" y="2797968"/>
          <a:ext cx="2012156" cy="678656"/>
        </a:xfrm>
        <a:prstGeom prst="bevel">
          <a:avLst/>
        </a:prstGeom>
        <a:solidFill>
          <a:schemeClr val="tx1"/>
        </a:solidFill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rgbClr val="FF0000"/>
              </a:solidFill>
            </a:rPr>
            <a:t>  </a:t>
          </a:r>
        </a:p>
        <a:p>
          <a:pPr algn="l"/>
          <a:r>
            <a:rPr lang="tr-TR" sz="1100">
              <a:solidFill>
                <a:srgbClr val="FF0000"/>
              </a:solidFill>
            </a:rPr>
            <a:t>    </a:t>
          </a:r>
          <a:r>
            <a:rPr lang="tr-TR" sz="1200" b="1">
              <a:solidFill>
                <a:srgbClr val="FF0000"/>
              </a:solidFill>
              <a:latin typeface="Arial Narrow" panose="020B0606020202030204" pitchFamily="34" charset="0"/>
              <a:ea typeface="+mn-ea"/>
              <a:cs typeface="+mn-cs"/>
            </a:rPr>
            <a:t>BÖLGE SATIŞ RAPORU</a:t>
          </a:r>
        </a:p>
      </xdr:txBody>
    </xdr:sp>
    <xdr:clientData/>
  </xdr:twoCellAnchor>
  <xdr:twoCellAnchor>
    <xdr:from>
      <xdr:col>0</xdr:col>
      <xdr:colOff>11906</xdr:colOff>
      <xdr:row>23</xdr:row>
      <xdr:rowOff>59533</xdr:rowOff>
    </xdr:from>
    <xdr:to>
      <xdr:col>3</xdr:col>
      <xdr:colOff>202406</xdr:colOff>
      <xdr:row>26</xdr:row>
      <xdr:rowOff>166689</xdr:rowOff>
    </xdr:to>
    <xdr:sp macro="[0]!RAPOR3" textlink="">
      <xdr:nvSpPr>
        <xdr:cNvPr id="4" name="Dolu Çerçev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1906" y="4441033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ŞUBE SATIŞ RAPORU</a:t>
          </a:r>
        </a:p>
      </xdr:txBody>
    </xdr:sp>
    <xdr:clientData/>
  </xdr:twoCellAnchor>
  <xdr:twoCellAnchor>
    <xdr:from>
      <xdr:col>0</xdr:col>
      <xdr:colOff>11906</xdr:colOff>
      <xdr:row>32</xdr:row>
      <xdr:rowOff>83344</xdr:rowOff>
    </xdr:from>
    <xdr:to>
      <xdr:col>3</xdr:col>
      <xdr:colOff>202406</xdr:colOff>
      <xdr:row>36</xdr:row>
      <xdr:rowOff>0</xdr:rowOff>
    </xdr:to>
    <xdr:sp macro="[0]!RAPOR4" textlink="">
      <xdr:nvSpPr>
        <xdr:cNvPr id="5" name="Dolu Çerçev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906" y="6179344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l"/>
          <a:r>
            <a:rPr lang="tr-TR" sz="1100"/>
            <a:t>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TEMSİLCİ SATIŞ RAPORU</a:t>
          </a:r>
        </a:p>
      </xdr:txBody>
    </xdr:sp>
    <xdr:clientData/>
  </xdr:twoCellAnchor>
  <xdr:twoCellAnchor>
    <xdr:from>
      <xdr:col>0</xdr:col>
      <xdr:colOff>11906</xdr:colOff>
      <xdr:row>39</xdr:row>
      <xdr:rowOff>178594</xdr:rowOff>
    </xdr:from>
    <xdr:to>
      <xdr:col>3</xdr:col>
      <xdr:colOff>202406</xdr:colOff>
      <xdr:row>43</xdr:row>
      <xdr:rowOff>95250</xdr:rowOff>
    </xdr:to>
    <xdr:sp macro="[0]!RAPOR5" textlink="">
      <xdr:nvSpPr>
        <xdr:cNvPr id="6" name="Dolu Çerçev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1906" y="7608094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HEDEF SATIŞ RAPORU</a:t>
          </a:r>
        </a:p>
      </xdr:txBody>
    </xdr:sp>
    <xdr:clientData/>
  </xdr:twoCellAnchor>
  <xdr:twoCellAnchor>
    <xdr:from>
      <xdr:col>0</xdr:col>
      <xdr:colOff>11905</xdr:colOff>
      <xdr:row>0</xdr:row>
      <xdr:rowOff>190498</xdr:rowOff>
    </xdr:from>
    <xdr:to>
      <xdr:col>6</xdr:col>
      <xdr:colOff>464343</xdr:colOff>
      <xdr:row>5</xdr:row>
      <xdr:rowOff>23811</xdr:rowOff>
    </xdr:to>
    <xdr:sp macro="" textlink="">
      <xdr:nvSpPr>
        <xdr:cNvPr id="7" name="Çerçev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1905" y="190498"/>
          <a:ext cx="4110038" cy="785813"/>
        </a:xfrm>
        <a:prstGeom prst="frame">
          <a:avLst/>
        </a:prstGeom>
        <a:solidFill>
          <a:schemeClr val="accent2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tr-TR" sz="2400"/>
            <a:t>     </a:t>
          </a:r>
          <a:r>
            <a:rPr lang="tr-TR" sz="2400" b="0" cap="none" spc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Arial Narrow" panose="020B0606020202030204" pitchFamily="34" charset="0"/>
            </a:rPr>
            <a:t>BÖLGE</a:t>
          </a:r>
          <a:r>
            <a:rPr lang="tr-TR" sz="2400" b="0" cap="none" spc="0" baseline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Arial Narrow" panose="020B0606020202030204" pitchFamily="34" charset="0"/>
            </a:rPr>
            <a:t> SATIŞ RAPORU</a:t>
          </a:r>
          <a:endParaRPr lang="tr-TR" sz="2400" b="0" cap="none" spc="0">
            <a:ln w="0"/>
            <a:solidFill>
              <a:schemeClr val="accent2">
                <a:lumMod val="7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247650</xdr:colOff>
          <xdr:row>8</xdr:row>
          <xdr:rowOff>9525</xdr:rowOff>
        </xdr:from>
        <xdr:to>
          <xdr:col>25</xdr:col>
          <xdr:colOff>295275</xdr:colOff>
          <xdr:row>22</xdr:row>
          <xdr:rowOff>180975</xdr:rowOff>
        </xdr:to>
        <xdr:sp macro="" textlink="">
          <xdr:nvSpPr>
            <xdr:cNvPr id="2049" name="Lis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71439</xdr:colOff>
      <xdr:row>26</xdr:row>
      <xdr:rowOff>0</xdr:rowOff>
    </xdr:from>
    <xdr:to>
      <xdr:col>33</xdr:col>
      <xdr:colOff>23812</xdr:colOff>
      <xdr:row>43</xdr:row>
      <xdr:rowOff>123825</xdr:rowOff>
    </xdr:to>
    <xdr:grpSp>
      <xdr:nvGrpSpPr>
        <xdr:cNvPr id="9" name="adetgrafik" hidden="1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500314" y="4953000"/>
          <a:ext cx="18895217" cy="3362325"/>
          <a:chOff x="2500314" y="4953000"/>
          <a:chExt cx="18895217" cy="3362325"/>
        </a:xfrm>
      </xdr:grpSpPr>
      <xdr:graphicFrame macro="">
        <xdr:nvGraphicFramePr>
          <xdr:cNvPr id="8" name="Grafik 7" hidden="1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GraphicFramePr/>
        </xdr:nvGraphicFramePr>
        <xdr:xfrm>
          <a:off x="2500314" y="4953000"/>
          <a:ext cx="4572000" cy="33539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Grafik 9" hidden="1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GraphicFramePr>
            <a:graphicFrameLocks/>
          </xdr:cNvGraphicFramePr>
        </xdr:nvGraphicFramePr>
        <xdr:xfrm>
          <a:off x="7239000" y="4953000"/>
          <a:ext cx="4572000" cy="33623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Grafik 10" hidden="1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GraphicFramePr>
            <a:graphicFrameLocks/>
          </xdr:cNvGraphicFramePr>
        </xdr:nvGraphicFramePr>
        <xdr:xfrm>
          <a:off x="12025313" y="4964906"/>
          <a:ext cx="4572000" cy="335041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Grafik 11" hidden="1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GraphicFramePr>
            <a:graphicFrameLocks/>
          </xdr:cNvGraphicFramePr>
        </xdr:nvGraphicFramePr>
        <xdr:xfrm>
          <a:off x="16823531" y="4964906"/>
          <a:ext cx="4572000" cy="33385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4</xdr:col>
      <xdr:colOff>69058</xdr:colOff>
      <xdr:row>25</xdr:row>
      <xdr:rowOff>188118</xdr:rowOff>
    </xdr:from>
    <xdr:to>
      <xdr:col>33</xdr:col>
      <xdr:colOff>21431</xdr:colOff>
      <xdr:row>43</xdr:row>
      <xdr:rowOff>121443</xdr:rowOff>
    </xdr:to>
    <xdr:grpSp>
      <xdr:nvGrpSpPr>
        <xdr:cNvPr id="14" name="tutargrafik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2497933" y="4950618"/>
          <a:ext cx="18895217" cy="3362325"/>
          <a:chOff x="2500314" y="4953000"/>
          <a:chExt cx="18895217" cy="3362325"/>
        </a:xfrm>
      </xdr:grpSpPr>
      <xdr:graphicFrame macro="">
        <xdr:nvGraphicFramePr>
          <xdr:cNvPr id="15" name="Grafik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GraphicFramePr/>
        </xdr:nvGraphicFramePr>
        <xdr:xfrm>
          <a:off x="2500314" y="4953000"/>
          <a:ext cx="4572000" cy="33539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6" name="Grafik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GraphicFramePr>
            <a:graphicFrameLocks/>
          </xdr:cNvGraphicFramePr>
        </xdr:nvGraphicFramePr>
        <xdr:xfrm>
          <a:off x="7239000" y="4953000"/>
          <a:ext cx="4572000" cy="33623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7" name="Grafik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GraphicFramePr>
            <a:graphicFrameLocks/>
          </xdr:cNvGraphicFramePr>
        </xdr:nvGraphicFramePr>
        <xdr:xfrm>
          <a:off x="12025313" y="4964906"/>
          <a:ext cx="4572000" cy="335041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8" name="Grafik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GraphicFramePr>
            <a:graphicFrameLocks/>
          </xdr:cNvGraphicFramePr>
        </xdr:nvGraphicFramePr>
        <xdr:xfrm>
          <a:off x="16823531" y="4964906"/>
          <a:ext cx="4572000" cy="33385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26</xdr:col>
      <xdr:colOff>523874</xdr:colOff>
      <xdr:row>11</xdr:row>
      <xdr:rowOff>119062</xdr:rowOff>
    </xdr:from>
    <xdr:to>
      <xdr:col>32</xdr:col>
      <xdr:colOff>35718</xdr:colOff>
      <xdr:row>14</xdr:row>
      <xdr:rowOff>47625</xdr:rowOff>
    </xdr:to>
    <xdr:sp macro="[0]!adetgrafik" textlink="">
      <xdr:nvSpPr>
        <xdr:cNvPr id="21" name="Çerçev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7645062" y="2214562"/>
          <a:ext cx="3155156" cy="500063"/>
        </a:xfrm>
        <a:prstGeom prst="frame">
          <a:avLst/>
        </a:prstGeom>
        <a:solidFill>
          <a:srgbClr val="00B050"/>
        </a:solidFill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 b="1">
              <a:solidFill>
                <a:schemeClr val="bg1"/>
              </a:solidFill>
              <a:effectLst>
                <a:reflection blurRad="6350" stA="55000" endA="300" endPos="45500" dir="5400000" sy="-100000" algn="bl" rotWithShape="0"/>
              </a:effectLst>
            </a:rPr>
            <a:t>                             ADET</a:t>
          </a:r>
          <a:r>
            <a:rPr lang="tr-TR" sz="1100" b="1" baseline="0">
              <a:solidFill>
                <a:schemeClr val="bg1"/>
              </a:solidFill>
              <a:effectLst>
                <a:reflection blurRad="6350" stA="55000" endA="300" endPos="45500" dir="5400000" sy="-100000" algn="bl" rotWithShape="0"/>
              </a:effectLst>
            </a:rPr>
            <a:t> GRAFİKLERİ</a:t>
          </a:r>
          <a:endParaRPr lang="tr-TR" sz="1100" b="1">
            <a:solidFill>
              <a:schemeClr val="bg1"/>
            </a:solidFill>
            <a:effectLst>
              <a:reflection blurRad="6350" stA="55000" endA="300" endPos="45500" dir="5400000" sy="-100000" algn="bl" rotWithShape="0"/>
            </a:effectLst>
          </a:endParaRPr>
        </a:p>
      </xdr:txBody>
    </xdr:sp>
    <xdr:clientData/>
  </xdr:twoCellAnchor>
  <xdr:twoCellAnchor>
    <xdr:from>
      <xdr:col>26</xdr:col>
      <xdr:colOff>559593</xdr:colOff>
      <xdr:row>17</xdr:row>
      <xdr:rowOff>23812</xdr:rowOff>
    </xdr:from>
    <xdr:to>
      <xdr:col>32</xdr:col>
      <xdr:colOff>107156</xdr:colOff>
      <xdr:row>19</xdr:row>
      <xdr:rowOff>154781</xdr:rowOff>
    </xdr:to>
    <xdr:sp macro="[0]!tutargrafik" textlink="">
      <xdr:nvSpPr>
        <xdr:cNvPr id="24" name="Çerçev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7680781" y="3262312"/>
          <a:ext cx="3190875" cy="511969"/>
        </a:xfrm>
        <a:prstGeom prst="frame">
          <a:avLst/>
        </a:prstGeom>
        <a:solidFill>
          <a:srgbClr val="00B050"/>
        </a:solidFill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chemeClr val="bg1"/>
              </a:solidFill>
              <a:effectLst>
                <a:reflection blurRad="6350" stA="55000" endA="300" endPos="45500" dir="5400000" sy="-100000" algn="bl" rotWithShape="0"/>
              </a:effectLst>
            </a:rPr>
            <a:t>                           </a:t>
          </a:r>
          <a:r>
            <a:rPr lang="tr-TR" sz="1100" b="1">
              <a:solidFill>
                <a:schemeClr val="bg1"/>
              </a:solidFill>
              <a:effectLst>
                <a:reflection blurRad="6350" stA="55000" endA="300" endPos="45500" dir="5400000" sy="-100000" algn="bl" rotWithShape="0"/>
              </a:effectLst>
            </a:rPr>
            <a:t>TUTAR GRAFİKLERİ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</xdr:colOff>
      <xdr:row>6</xdr:row>
      <xdr:rowOff>71437</xdr:rowOff>
    </xdr:from>
    <xdr:to>
      <xdr:col>3</xdr:col>
      <xdr:colOff>202406</xdr:colOff>
      <xdr:row>9</xdr:row>
      <xdr:rowOff>178593</xdr:rowOff>
    </xdr:to>
    <xdr:sp macro="[0]!RAPOR1" textlink="">
      <xdr:nvSpPr>
        <xdr:cNvPr id="2" name="Dolu Çerçev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906" y="1214437"/>
          <a:ext cx="2019300" cy="678656"/>
        </a:xfrm>
        <a:prstGeom prst="bevel">
          <a:avLst/>
        </a:prstGeom>
        <a:solidFill>
          <a:schemeClr val="accent1"/>
        </a:solidFill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rgbClr val="FF0000"/>
              </a:solidFill>
            </a:rPr>
            <a:t>    </a:t>
          </a:r>
        </a:p>
        <a:p>
          <a:pPr algn="l"/>
          <a:r>
            <a:rPr lang="tr-TR" sz="1200">
              <a:solidFill>
                <a:srgbClr val="FF0000"/>
              </a:solidFill>
              <a:latin typeface="Arial Narrow" panose="020B0606020202030204" pitchFamily="34" charset="0"/>
            </a:rPr>
            <a:t>   </a:t>
          </a:r>
          <a:r>
            <a:rPr lang="tr-TR" sz="1200" baseline="0">
              <a:solidFill>
                <a:srgbClr val="FF0000"/>
              </a:solidFill>
              <a:latin typeface="Arial Narrow" panose="020B0606020202030204" pitchFamily="34" charset="0"/>
            </a:rPr>
            <a:t>  </a:t>
          </a:r>
          <a:r>
            <a:rPr lang="tr-TR" sz="1200" b="1">
              <a:solidFill>
                <a:schemeClr val="bg1"/>
              </a:solidFill>
              <a:latin typeface="Arial Narrow" panose="020B0606020202030204" pitchFamily="34" charset="0"/>
            </a:rPr>
            <a:t>GENEL</a:t>
          </a:r>
          <a:r>
            <a:rPr lang="tr-TR" sz="1200" b="1" baseline="0">
              <a:solidFill>
                <a:schemeClr val="bg1"/>
              </a:solidFill>
              <a:latin typeface="Arial Narrow" panose="020B0606020202030204" pitchFamily="34" charset="0"/>
            </a:rPr>
            <a:t> SATIŞ RAPORU</a:t>
          </a:r>
          <a:endParaRPr lang="tr-TR" sz="1200" b="1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0</xdr:col>
      <xdr:colOff>11906</xdr:colOff>
      <xdr:row>14</xdr:row>
      <xdr:rowOff>83343</xdr:rowOff>
    </xdr:from>
    <xdr:to>
      <xdr:col>3</xdr:col>
      <xdr:colOff>202406</xdr:colOff>
      <xdr:row>17</xdr:row>
      <xdr:rowOff>190499</xdr:rowOff>
    </xdr:to>
    <xdr:sp macro="[0]!rapor2" textlink="">
      <xdr:nvSpPr>
        <xdr:cNvPr id="3" name="Dolu Çerçev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906" y="2750343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BÖLGE SATIŞ RAPORU</a:t>
          </a:r>
        </a:p>
      </xdr:txBody>
    </xdr:sp>
    <xdr:clientData/>
  </xdr:twoCellAnchor>
  <xdr:twoCellAnchor>
    <xdr:from>
      <xdr:col>0</xdr:col>
      <xdr:colOff>11906</xdr:colOff>
      <xdr:row>23</xdr:row>
      <xdr:rowOff>59533</xdr:rowOff>
    </xdr:from>
    <xdr:to>
      <xdr:col>3</xdr:col>
      <xdr:colOff>202406</xdr:colOff>
      <xdr:row>26</xdr:row>
      <xdr:rowOff>166689</xdr:rowOff>
    </xdr:to>
    <xdr:sp macro="[0]!RAPOR3" textlink="">
      <xdr:nvSpPr>
        <xdr:cNvPr id="4" name="Dolu Çerçev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1906" y="4441033"/>
          <a:ext cx="2019300" cy="678656"/>
        </a:xfrm>
        <a:prstGeom prst="bevel">
          <a:avLst/>
        </a:prstGeom>
        <a:solidFill>
          <a:schemeClr val="tx1"/>
        </a:solidFill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 </a:t>
          </a:r>
          <a:r>
            <a:rPr lang="tr-TR" sz="1200" b="1">
              <a:solidFill>
                <a:srgbClr val="FF0000"/>
              </a:solidFill>
              <a:latin typeface="Arial Narrow" panose="020B0606020202030204" pitchFamily="34" charset="0"/>
              <a:ea typeface="+mn-ea"/>
              <a:cs typeface="+mn-cs"/>
            </a:rPr>
            <a:t>ŞUBE SATIŞ RAPORU</a:t>
          </a:r>
        </a:p>
      </xdr:txBody>
    </xdr:sp>
    <xdr:clientData/>
  </xdr:twoCellAnchor>
  <xdr:twoCellAnchor>
    <xdr:from>
      <xdr:col>0</xdr:col>
      <xdr:colOff>11906</xdr:colOff>
      <xdr:row>32</xdr:row>
      <xdr:rowOff>83344</xdr:rowOff>
    </xdr:from>
    <xdr:to>
      <xdr:col>3</xdr:col>
      <xdr:colOff>202406</xdr:colOff>
      <xdr:row>36</xdr:row>
      <xdr:rowOff>0</xdr:rowOff>
    </xdr:to>
    <xdr:sp macro="[0]!RAPOR4" textlink="">
      <xdr:nvSpPr>
        <xdr:cNvPr id="5" name="Dolu Çerçev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1906" y="6179344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l"/>
          <a:r>
            <a:rPr lang="tr-TR" sz="1100"/>
            <a:t>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TEMSİLCİ SATIŞ RAPORU</a:t>
          </a:r>
        </a:p>
      </xdr:txBody>
    </xdr:sp>
    <xdr:clientData/>
  </xdr:twoCellAnchor>
  <xdr:twoCellAnchor>
    <xdr:from>
      <xdr:col>0</xdr:col>
      <xdr:colOff>11906</xdr:colOff>
      <xdr:row>39</xdr:row>
      <xdr:rowOff>178594</xdr:rowOff>
    </xdr:from>
    <xdr:to>
      <xdr:col>3</xdr:col>
      <xdr:colOff>202406</xdr:colOff>
      <xdr:row>43</xdr:row>
      <xdr:rowOff>95250</xdr:rowOff>
    </xdr:to>
    <xdr:sp macro="[0]!RAPOR5" textlink="">
      <xdr:nvSpPr>
        <xdr:cNvPr id="6" name="Dolu Çerçev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1906" y="7608094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HEDEF SATIŞ RAPORU</a:t>
          </a:r>
        </a:p>
      </xdr:txBody>
    </xdr:sp>
    <xdr:clientData/>
  </xdr:twoCellAnchor>
  <xdr:twoCellAnchor>
    <xdr:from>
      <xdr:col>0</xdr:col>
      <xdr:colOff>11905</xdr:colOff>
      <xdr:row>0</xdr:row>
      <xdr:rowOff>190498</xdr:rowOff>
    </xdr:from>
    <xdr:to>
      <xdr:col>6</xdr:col>
      <xdr:colOff>464343</xdr:colOff>
      <xdr:row>5</xdr:row>
      <xdr:rowOff>23811</xdr:rowOff>
    </xdr:to>
    <xdr:sp macro="" textlink="">
      <xdr:nvSpPr>
        <xdr:cNvPr id="7" name="Çerçev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1905" y="190498"/>
          <a:ext cx="4110038" cy="785813"/>
        </a:xfrm>
        <a:prstGeom prst="frame">
          <a:avLst/>
        </a:prstGeom>
        <a:solidFill>
          <a:schemeClr val="accent2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tr-TR" sz="2400"/>
            <a:t>     </a:t>
          </a:r>
          <a:r>
            <a:rPr lang="tr-TR" sz="2400" b="0" cap="none" spc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Arial Narrow" panose="020B0606020202030204" pitchFamily="34" charset="0"/>
            </a:rPr>
            <a:t>ŞUBE</a:t>
          </a:r>
          <a:r>
            <a:rPr lang="tr-TR" sz="2400" b="0" cap="none" spc="0" baseline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Arial Narrow" panose="020B0606020202030204" pitchFamily="34" charset="0"/>
            </a:rPr>
            <a:t> SATIŞ RAPORU</a:t>
          </a:r>
          <a:endParaRPr lang="tr-TR" sz="2400" b="0" cap="none" spc="0">
            <a:ln w="0"/>
            <a:solidFill>
              <a:schemeClr val="accent2">
                <a:lumMod val="7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16</xdr:col>
      <xdr:colOff>357185</xdr:colOff>
      <xdr:row>8</xdr:row>
      <xdr:rowOff>11905</xdr:rowOff>
    </xdr:from>
    <xdr:to>
      <xdr:col>32</xdr:col>
      <xdr:colOff>83342</xdr:colOff>
      <xdr:row>34</xdr:row>
      <xdr:rowOff>107156</xdr:rowOff>
    </xdr:to>
    <xdr:graphicFrame macro="">
      <xdr:nvGraphicFramePr>
        <xdr:cNvPr id="9" name="Grafik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</xdr:colOff>
      <xdr:row>6</xdr:row>
      <xdr:rowOff>71437</xdr:rowOff>
    </xdr:from>
    <xdr:to>
      <xdr:col>3</xdr:col>
      <xdr:colOff>202406</xdr:colOff>
      <xdr:row>9</xdr:row>
      <xdr:rowOff>178593</xdr:rowOff>
    </xdr:to>
    <xdr:sp macro="[0]!RAPOR1" textlink="">
      <xdr:nvSpPr>
        <xdr:cNvPr id="2" name="Dolu Çerçev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906" y="1214437"/>
          <a:ext cx="2019300" cy="678656"/>
        </a:xfrm>
        <a:prstGeom prst="bevel">
          <a:avLst/>
        </a:prstGeom>
        <a:solidFill>
          <a:schemeClr val="accent1"/>
        </a:solidFill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chemeClr val="bg1"/>
              </a:solidFill>
            </a:rPr>
            <a:t>    </a:t>
          </a:r>
        </a:p>
        <a:p>
          <a:pPr algn="l"/>
          <a:r>
            <a:rPr lang="tr-TR" sz="1200">
              <a:solidFill>
                <a:schemeClr val="bg1"/>
              </a:solidFill>
              <a:latin typeface="Arial Narrow" panose="020B0606020202030204" pitchFamily="34" charset="0"/>
            </a:rPr>
            <a:t>   </a:t>
          </a:r>
          <a:r>
            <a:rPr lang="tr-TR" sz="1200" baseline="0">
              <a:solidFill>
                <a:schemeClr val="bg1"/>
              </a:solidFill>
              <a:latin typeface="Arial Narrow" panose="020B0606020202030204" pitchFamily="34" charset="0"/>
            </a:rPr>
            <a:t>  </a:t>
          </a:r>
          <a:r>
            <a:rPr lang="tr-TR" sz="1200" b="1">
              <a:solidFill>
                <a:schemeClr val="bg1"/>
              </a:solidFill>
              <a:latin typeface="Arial Narrow" panose="020B0606020202030204" pitchFamily="34" charset="0"/>
            </a:rPr>
            <a:t>GENEL</a:t>
          </a:r>
          <a:r>
            <a:rPr lang="tr-TR" sz="1200" b="1" baseline="0">
              <a:solidFill>
                <a:schemeClr val="bg1"/>
              </a:solidFill>
              <a:latin typeface="Arial Narrow" panose="020B0606020202030204" pitchFamily="34" charset="0"/>
            </a:rPr>
            <a:t> SATIŞ RAPORU</a:t>
          </a:r>
          <a:endParaRPr lang="tr-TR" sz="1200" b="1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0</xdr:col>
      <xdr:colOff>11906</xdr:colOff>
      <xdr:row>14</xdr:row>
      <xdr:rowOff>83343</xdr:rowOff>
    </xdr:from>
    <xdr:to>
      <xdr:col>3</xdr:col>
      <xdr:colOff>202406</xdr:colOff>
      <xdr:row>17</xdr:row>
      <xdr:rowOff>190499</xdr:rowOff>
    </xdr:to>
    <xdr:sp macro="[0]!rapor2" textlink="">
      <xdr:nvSpPr>
        <xdr:cNvPr id="3" name="Dolu Çerçev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906" y="2750343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BÖLGE SATIŞ RAPORU</a:t>
          </a:r>
        </a:p>
      </xdr:txBody>
    </xdr:sp>
    <xdr:clientData/>
  </xdr:twoCellAnchor>
  <xdr:twoCellAnchor>
    <xdr:from>
      <xdr:col>0</xdr:col>
      <xdr:colOff>11906</xdr:colOff>
      <xdr:row>23</xdr:row>
      <xdr:rowOff>59533</xdr:rowOff>
    </xdr:from>
    <xdr:to>
      <xdr:col>3</xdr:col>
      <xdr:colOff>202406</xdr:colOff>
      <xdr:row>26</xdr:row>
      <xdr:rowOff>166689</xdr:rowOff>
    </xdr:to>
    <xdr:sp macro="[0]!RAPOR3" textlink="">
      <xdr:nvSpPr>
        <xdr:cNvPr id="4" name="Dolu Çerçev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1906" y="4441033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ŞUBE SATIŞ RAPORU</a:t>
          </a:r>
        </a:p>
      </xdr:txBody>
    </xdr:sp>
    <xdr:clientData/>
  </xdr:twoCellAnchor>
  <xdr:twoCellAnchor>
    <xdr:from>
      <xdr:col>0</xdr:col>
      <xdr:colOff>11906</xdr:colOff>
      <xdr:row>32</xdr:row>
      <xdr:rowOff>83344</xdr:rowOff>
    </xdr:from>
    <xdr:to>
      <xdr:col>3</xdr:col>
      <xdr:colOff>202406</xdr:colOff>
      <xdr:row>36</xdr:row>
      <xdr:rowOff>0</xdr:rowOff>
    </xdr:to>
    <xdr:sp macro="[0]!RAPOR4" textlink="">
      <xdr:nvSpPr>
        <xdr:cNvPr id="5" name="Dolu Çerçev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1906" y="6179344"/>
          <a:ext cx="2019300" cy="678656"/>
        </a:xfrm>
        <a:prstGeom prst="bevel">
          <a:avLst/>
        </a:prstGeom>
        <a:solidFill>
          <a:schemeClr val="tx1"/>
        </a:solidFill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rgbClr val="FF0000"/>
            </a:solidFill>
          </a:endParaRPr>
        </a:p>
        <a:p>
          <a:pPr algn="l"/>
          <a:r>
            <a:rPr lang="tr-TR" sz="1100">
              <a:solidFill>
                <a:srgbClr val="FF0000"/>
              </a:solidFill>
            </a:rPr>
            <a:t>  </a:t>
          </a:r>
          <a:r>
            <a:rPr lang="tr-TR" sz="1200" b="1">
              <a:solidFill>
                <a:srgbClr val="FF0000"/>
              </a:solidFill>
              <a:latin typeface="Arial Narrow" panose="020B0606020202030204" pitchFamily="34" charset="0"/>
              <a:ea typeface="+mn-ea"/>
              <a:cs typeface="+mn-cs"/>
            </a:rPr>
            <a:t>TEMSİLCİ SATIŞ RAPORU</a:t>
          </a:r>
        </a:p>
      </xdr:txBody>
    </xdr:sp>
    <xdr:clientData/>
  </xdr:twoCellAnchor>
  <xdr:twoCellAnchor>
    <xdr:from>
      <xdr:col>0</xdr:col>
      <xdr:colOff>11906</xdr:colOff>
      <xdr:row>39</xdr:row>
      <xdr:rowOff>178594</xdr:rowOff>
    </xdr:from>
    <xdr:to>
      <xdr:col>3</xdr:col>
      <xdr:colOff>202406</xdr:colOff>
      <xdr:row>43</xdr:row>
      <xdr:rowOff>95250</xdr:rowOff>
    </xdr:to>
    <xdr:sp macro="[0]!RAPOR5" textlink="">
      <xdr:nvSpPr>
        <xdr:cNvPr id="6" name="Dolu Çerçev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1906" y="7608094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HEDEF SATIŞ RAPORU</a:t>
          </a:r>
        </a:p>
      </xdr:txBody>
    </xdr:sp>
    <xdr:clientData/>
  </xdr:twoCellAnchor>
  <xdr:twoCellAnchor>
    <xdr:from>
      <xdr:col>0</xdr:col>
      <xdr:colOff>11905</xdr:colOff>
      <xdr:row>0</xdr:row>
      <xdr:rowOff>190498</xdr:rowOff>
    </xdr:from>
    <xdr:to>
      <xdr:col>6</xdr:col>
      <xdr:colOff>464343</xdr:colOff>
      <xdr:row>5</xdr:row>
      <xdr:rowOff>23811</xdr:rowOff>
    </xdr:to>
    <xdr:sp macro="" textlink="">
      <xdr:nvSpPr>
        <xdr:cNvPr id="7" name="Çerçev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1905" y="190498"/>
          <a:ext cx="4110038" cy="785813"/>
        </a:xfrm>
        <a:prstGeom prst="frame">
          <a:avLst/>
        </a:prstGeom>
        <a:solidFill>
          <a:schemeClr val="accent2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tr-TR" sz="2400"/>
            <a:t>     </a:t>
          </a:r>
          <a:r>
            <a:rPr lang="tr-TR" sz="2400" b="0" cap="none" spc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Arial Narrow" panose="020B0606020202030204" pitchFamily="34" charset="0"/>
            </a:rPr>
            <a:t>TEMSİLCİ</a:t>
          </a:r>
          <a:r>
            <a:rPr lang="tr-TR" sz="2400" b="0" cap="none" spc="0" baseline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Arial Narrow" panose="020B0606020202030204" pitchFamily="34" charset="0"/>
            </a:rPr>
            <a:t> SATIŞ RAPORU</a:t>
          </a:r>
          <a:endParaRPr lang="tr-TR" sz="2400" b="0" cap="none" spc="0">
            <a:ln w="0"/>
            <a:solidFill>
              <a:schemeClr val="accent2">
                <a:lumMod val="7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</xdr:row>
          <xdr:rowOff>28575</xdr:rowOff>
        </xdr:from>
        <xdr:to>
          <xdr:col>16</xdr:col>
          <xdr:colOff>533400</xdr:colOff>
          <xdr:row>15</xdr:row>
          <xdr:rowOff>95250</xdr:rowOff>
        </xdr:to>
        <xdr:sp macro="" textlink="">
          <xdr:nvSpPr>
            <xdr:cNvPr id="4097" name="Lis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20</xdr:row>
          <xdr:rowOff>38100</xdr:rowOff>
        </xdr:from>
        <xdr:to>
          <xdr:col>15</xdr:col>
          <xdr:colOff>752475</xdr:colOff>
          <xdr:row>25</xdr:row>
          <xdr:rowOff>152400</xdr:rowOff>
        </xdr:to>
        <xdr:sp macro="" textlink="">
          <xdr:nvSpPr>
            <xdr:cNvPr id="4098" name="ListBox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30</xdr:row>
          <xdr:rowOff>123825</xdr:rowOff>
        </xdr:from>
        <xdr:to>
          <xdr:col>14</xdr:col>
          <xdr:colOff>457200</xdr:colOff>
          <xdr:row>34</xdr:row>
          <xdr:rowOff>0</xdr:rowOff>
        </xdr:to>
        <xdr:sp macro="" textlink="">
          <xdr:nvSpPr>
            <xdr:cNvPr id="4100" name="ListBox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6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345282</xdr:colOff>
      <xdr:row>2</xdr:row>
      <xdr:rowOff>142875</xdr:rowOff>
    </xdr:from>
    <xdr:to>
      <xdr:col>13</xdr:col>
      <xdr:colOff>45244</xdr:colOff>
      <xdr:row>7</xdr:row>
      <xdr:rowOff>104775</xdr:rowOff>
    </xdr:to>
    <xdr:pic>
      <xdr:nvPicPr>
        <xdr:cNvPr id="9" name="Grafik 8" descr="Afrika ve Avrupa'yı gösteren Dünya küre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24688" y="5238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404813</xdr:colOff>
      <xdr:row>15</xdr:row>
      <xdr:rowOff>130968</xdr:rowOff>
    </xdr:from>
    <xdr:to>
      <xdr:col>13</xdr:col>
      <xdr:colOff>104775</xdr:colOff>
      <xdr:row>19</xdr:row>
      <xdr:rowOff>142874</xdr:rowOff>
    </xdr:to>
    <xdr:pic>
      <xdr:nvPicPr>
        <xdr:cNvPr id="11" name="Grafik 10" descr="İğneli harita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84219" y="2988468"/>
          <a:ext cx="914400" cy="773906"/>
        </a:xfrm>
        <a:prstGeom prst="rect">
          <a:avLst/>
        </a:prstGeom>
      </xdr:spPr>
    </xdr:pic>
    <xdr:clientData/>
  </xdr:twoCellAnchor>
  <xdr:twoCellAnchor editAs="oneCell">
    <xdr:from>
      <xdr:col>11</xdr:col>
      <xdr:colOff>452438</xdr:colOff>
      <xdr:row>26</xdr:row>
      <xdr:rowOff>83344</xdr:rowOff>
    </xdr:from>
    <xdr:to>
      <xdr:col>13</xdr:col>
      <xdr:colOff>152400</xdr:colOff>
      <xdr:row>30</xdr:row>
      <xdr:rowOff>71437</xdr:rowOff>
    </xdr:to>
    <xdr:pic>
      <xdr:nvPicPr>
        <xdr:cNvPr id="13" name="Grafik 12" descr="İşletmenin Büyümesi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31844" y="5036344"/>
          <a:ext cx="914400" cy="750093"/>
        </a:xfrm>
        <a:prstGeom prst="rect">
          <a:avLst/>
        </a:prstGeom>
      </xdr:spPr>
    </xdr:pic>
    <xdr:clientData/>
  </xdr:twoCellAnchor>
  <xdr:twoCellAnchor>
    <xdr:from>
      <xdr:col>4</xdr:col>
      <xdr:colOff>440531</xdr:colOff>
      <xdr:row>6</xdr:row>
      <xdr:rowOff>2</xdr:rowOff>
    </xdr:from>
    <xdr:to>
      <xdr:col>7</xdr:col>
      <xdr:colOff>547688</xdr:colOff>
      <xdr:row>7</xdr:row>
      <xdr:rowOff>142876</xdr:rowOff>
    </xdr:to>
    <xdr:sp macro="" textlink="">
      <xdr:nvSpPr>
        <xdr:cNvPr id="15" name="Çerçev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2869406" y="1143002"/>
          <a:ext cx="1928813" cy="333374"/>
        </a:xfrm>
        <a:prstGeom prst="fram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C000"/>
              </a:solidFill>
              <a:latin typeface="Rockwell Extra Bold" panose="02060903040505020403" pitchFamily="18" charset="0"/>
            </a:rPr>
            <a:t>BÖLGE SEÇİNİZ</a:t>
          </a:r>
        </a:p>
      </xdr:txBody>
    </xdr:sp>
    <xdr:clientData/>
  </xdr:twoCellAnchor>
  <xdr:twoCellAnchor>
    <xdr:from>
      <xdr:col>5</xdr:col>
      <xdr:colOff>297656</xdr:colOff>
      <xdr:row>18</xdr:row>
      <xdr:rowOff>59532</xdr:rowOff>
    </xdr:from>
    <xdr:to>
      <xdr:col>8</xdr:col>
      <xdr:colOff>535781</xdr:colOff>
      <xdr:row>20</xdr:row>
      <xdr:rowOff>11908</xdr:rowOff>
    </xdr:to>
    <xdr:sp macro="" textlink="">
      <xdr:nvSpPr>
        <xdr:cNvPr id="19" name="Çerçev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3333750" y="3488532"/>
          <a:ext cx="2059781" cy="333376"/>
        </a:xfrm>
        <a:prstGeom prst="fram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C000"/>
              </a:solidFill>
              <a:latin typeface="Rockwell Extra Bold" panose="02060903040505020403" pitchFamily="18" charset="0"/>
            </a:rPr>
            <a:t>ŞUBE SEÇİNİZ</a:t>
          </a:r>
        </a:p>
      </xdr:txBody>
    </xdr:sp>
    <xdr:clientData/>
  </xdr:twoCellAnchor>
  <xdr:twoCellAnchor>
    <xdr:from>
      <xdr:col>6</xdr:col>
      <xdr:colOff>261938</xdr:colOff>
      <xdr:row>29</xdr:row>
      <xdr:rowOff>35719</xdr:rowOff>
    </xdr:from>
    <xdr:to>
      <xdr:col>9</xdr:col>
      <xdr:colOff>476249</xdr:colOff>
      <xdr:row>31</xdr:row>
      <xdr:rowOff>11906</xdr:rowOff>
    </xdr:to>
    <xdr:sp macro="" textlink="">
      <xdr:nvSpPr>
        <xdr:cNvPr id="20" name="Çerçev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3905251" y="5560219"/>
          <a:ext cx="2035967" cy="357187"/>
        </a:xfrm>
        <a:prstGeom prst="fram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C000"/>
              </a:solidFill>
              <a:latin typeface="Rockwell Extra Bold" panose="02060903040505020403" pitchFamily="18" charset="0"/>
            </a:rPr>
            <a:t>PERSONEL SEÇİNİZ</a:t>
          </a:r>
        </a:p>
      </xdr:txBody>
    </xdr:sp>
    <xdr:clientData/>
  </xdr:twoCellAnchor>
  <xdr:twoCellAnchor editAs="oneCell">
    <xdr:from>
      <xdr:col>5</xdr:col>
      <xdr:colOff>559593</xdr:colOff>
      <xdr:row>10</xdr:row>
      <xdr:rowOff>23813</xdr:rowOff>
    </xdr:from>
    <xdr:to>
      <xdr:col>7</xdr:col>
      <xdr:colOff>259556</xdr:colOff>
      <xdr:row>14</xdr:row>
      <xdr:rowOff>176213</xdr:rowOff>
    </xdr:to>
    <xdr:pic>
      <xdr:nvPicPr>
        <xdr:cNvPr id="21" name="Grafik 20" descr="Ok: Sağa dönüş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595687" y="192881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369093</xdr:colOff>
      <xdr:row>22</xdr:row>
      <xdr:rowOff>95250</xdr:rowOff>
    </xdr:from>
    <xdr:to>
      <xdr:col>8</xdr:col>
      <xdr:colOff>69056</xdr:colOff>
      <xdr:row>27</xdr:row>
      <xdr:rowOff>57150</xdr:rowOff>
    </xdr:to>
    <xdr:pic>
      <xdr:nvPicPr>
        <xdr:cNvPr id="25" name="Grafik 24" descr="Ok: Sağa dönüş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012406" y="4286250"/>
          <a:ext cx="914400" cy="914400"/>
        </a:xfrm>
        <a:prstGeom prst="rect">
          <a:avLst/>
        </a:prstGeom>
      </xdr:spPr>
    </xdr:pic>
    <xdr:clientData/>
  </xdr:twoCellAnchor>
  <xdr:twoCellAnchor>
    <xdr:from>
      <xdr:col>19</xdr:col>
      <xdr:colOff>71438</xdr:colOff>
      <xdr:row>22</xdr:row>
      <xdr:rowOff>116683</xdr:rowOff>
    </xdr:from>
    <xdr:to>
      <xdr:col>33</xdr:col>
      <xdr:colOff>631031</xdr:colOff>
      <xdr:row>41</xdr:row>
      <xdr:rowOff>178594</xdr:rowOff>
    </xdr:to>
    <xdr:graphicFrame macro="">
      <xdr:nvGraphicFramePr>
        <xdr:cNvPr id="24" name="Grafik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166300</xdr:colOff>
      <xdr:row>4</xdr:row>
      <xdr:rowOff>78319</xdr:rowOff>
    </xdr:from>
    <xdr:to>
      <xdr:col>20</xdr:col>
      <xdr:colOff>464343</xdr:colOff>
      <xdr:row>7</xdr:row>
      <xdr:rowOff>95250</xdr:rowOff>
    </xdr:to>
    <xdr:grpSp>
      <xdr:nvGrpSpPr>
        <xdr:cNvPr id="54" name="Grafik 52" descr="Müşteri incelemesi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GrpSpPr/>
      </xdr:nvGrpSpPr>
      <xdr:grpSpPr>
        <a:xfrm>
          <a:off x="11286738" y="840319"/>
          <a:ext cx="1500574" cy="588431"/>
          <a:chOff x="11893957" y="780788"/>
          <a:chExt cx="990743" cy="360226"/>
        </a:xfrm>
      </xdr:grpSpPr>
      <xdr:sp macro="" textlink="">
        <xdr:nvSpPr>
          <xdr:cNvPr id="55" name="Serbest Form: Şekil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SpPr/>
        </xdr:nvSpPr>
        <xdr:spPr>
          <a:xfrm>
            <a:off x="12566263" y="780788"/>
            <a:ext cx="212278" cy="142805"/>
          </a:xfrm>
          <a:custGeom>
            <a:avLst/>
            <a:gdLst>
              <a:gd name="connsiteX0" fmla="*/ 212278 w 212278"/>
              <a:gd name="connsiteY0" fmla="*/ 71403 h 142805"/>
              <a:gd name="connsiteX1" fmla="*/ 106139 w 212278"/>
              <a:gd name="connsiteY1" fmla="*/ 142806 h 142805"/>
              <a:gd name="connsiteX2" fmla="*/ 0 w 212278"/>
              <a:gd name="connsiteY2" fmla="*/ 71403 h 142805"/>
              <a:gd name="connsiteX3" fmla="*/ 106139 w 212278"/>
              <a:gd name="connsiteY3" fmla="*/ 0 h 142805"/>
              <a:gd name="connsiteX4" fmla="*/ 212278 w 212278"/>
              <a:gd name="connsiteY4" fmla="*/ 71403 h 1428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2278" h="142805">
                <a:moveTo>
                  <a:pt x="212278" y="71403"/>
                </a:moveTo>
                <a:cubicBezTo>
                  <a:pt x="212278" y="110837"/>
                  <a:pt x="164758" y="142806"/>
                  <a:pt x="106139" y="142806"/>
                </a:cubicBezTo>
                <a:cubicBezTo>
                  <a:pt x="47520" y="142806"/>
                  <a:pt x="0" y="110837"/>
                  <a:pt x="0" y="71403"/>
                </a:cubicBezTo>
                <a:cubicBezTo>
                  <a:pt x="0" y="31968"/>
                  <a:pt x="47520" y="0"/>
                  <a:pt x="106139" y="0"/>
                </a:cubicBezTo>
                <a:cubicBezTo>
                  <a:pt x="164758" y="0"/>
                  <a:pt x="212278" y="31968"/>
                  <a:pt x="212278" y="71403"/>
                </a:cubicBezTo>
                <a:close/>
              </a:path>
            </a:pathLst>
          </a:cu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tr-TR"/>
          </a:p>
        </xdr:txBody>
      </xdr:sp>
      <xdr:sp macro="" textlink="">
        <xdr:nvSpPr>
          <xdr:cNvPr id="56" name="Serbest Form: Şekil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SpPr/>
        </xdr:nvSpPr>
        <xdr:spPr>
          <a:xfrm>
            <a:off x="12000233" y="780788"/>
            <a:ext cx="212278" cy="142805"/>
          </a:xfrm>
          <a:custGeom>
            <a:avLst/>
            <a:gdLst>
              <a:gd name="connsiteX0" fmla="*/ 212278 w 212278"/>
              <a:gd name="connsiteY0" fmla="*/ 71403 h 142805"/>
              <a:gd name="connsiteX1" fmla="*/ 106139 w 212278"/>
              <a:gd name="connsiteY1" fmla="*/ 142806 h 142805"/>
              <a:gd name="connsiteX2" fmla="*/ 0 w 212278"/>
              <a:gd name="connsiteY2" fmla="*/ 71403 h 142805"/>
              <a:gd name="connsiteX3" fmla="*/ 106139 w 212278"/>
              <a:gd name="connsiteY3" fmla="*/ 0 h 142805"/>
              <a:gd name="connsiteX4" fmla="*/ 212278 w 212278"/>
              <a:gd name="connsiteY4" fmla="*/ 71403 h 1428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2278" h="142805">
                <a:moveTo>
                  <a:pt x="212278" y="71403"/>
                </a:moveTo>
                <a:cubicBezTo>
                  <a:pt x="212278" y="110837"/>
                  <a:pt x="164758" y="142806"/>
                  <a:pt x="106139" y="142806"/>
                </a:cubicBezTo>
                <a:cubicBezTo>
                  <a:pt x="47520" y="142806"/>
                  <a:pt x="0" y="110837"/>
                  <a:pt x="0" y="71403"/>
                </a:cubicBezTo>
                <a:cubicBezTo>
                  <a:pt x="0" y="31968"/>
                  <a:pt x="47520" y="0"/>
                  <a:pt x="106139" y="0"/>
                </a:cubicBezTo>
                <a:cubicBezTo>
                  <a:pt x="164758" y="0"/>
                  <a:pt x="212278" y="31968"/>
                  <a:pt x="212278" y="71403"/>
                </a:cubicBezTo>
                <a:close/>
              </a:path>
            </a:pathLst>
          </a:cu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tr-TR"/>
          </a:p>
        </xdr:txBody>
      </xdr:sp>
      <xdr:sp macro="" textlink="">
        <xdr:nvSpPr>
          <xdr:cNvPr id="57" name="Serbest Form: Şekil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SpPr/>
        </xdr:nvSpPr>
        <xdr:spPr>
          <a:xfrm>
            <a:off x="12500370" y="942958"/>
            <a:ext cx="384330" cy="142989"/>
          </a:xfrm>
          <a:custGeom>
            <a:avLst/>
            <a:gdLst>
              <a:gd name="connsiteX0" fmla="*/ 363165 w 384330"/>
              <a:gd name="connsiteY0" fmla="*/ 42493 h 142989"/>
              <a:gd name="connsiteX1" fmla="*/ 259345 w 384330"/>
              <a:gd name="connsiteY1" fmla="*/ 9178 h 142989"/>
              <a:gd name="connsiteX2" fmla="*/ 172033 w 384330"/>
              <a:gd name="connsiteY2" fmla="*/ 0 h 142989"/>
              <a:gd name="connsiteX3" fmla="*/ 84857 w 384330"/>
              <a:gd name="connsiteY3" fmla="*/ 9178 h 142989"/>
              <a:gd name="connsiteX4" fmla="*/ 4911 w 384330"/>
              <a:gd name="connsiteY4" fmla="*/ 32306 h 142989"/>
              <a:gd name="connsiteX5" fmla="*/ 0 w 384330"/>
              <a:gd name="connsiteY5" fmla="*/ 36069 h 142989"/>
              <a:gd name="connsiteX6" fmla="*/ 109141 w 384330"/>
              <a:gd name="connsiteY6" fmla="*/ 72780 h 142989"/>
              <a:gd name="connsiteX7" fmla="*/ 148977 w 384330"/>
              <a:gd name="connsiteY7" fmla="*/ 126653 h 142989"/>
              <a:gd name="connsiteX8" fmla="*/ 148977 w 384330"/>
              <a:gd name="connsiteY8" fmla="*/ 142990 h 142989"/>
              <a:gd name="connsiteX9" fmla="*/ 384311 w 384330"/>
              <a:gd name="connsiteY9" fmla="*/ 142990 h 142989"/>
              <a:gd name="connsiteX10" fmla="*/ 384311 w 384330"/>
              <a:gd name="connsiteY10" fmla="*/ 71128 h 142989"/>
              <a:gd name="connsiteX11" fmla="*/ 363165 w 384330"/>
              <a:gd name="connsiteY11" fmla="*/ 42493 h 14298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384330" h="142989">
                <a:moveTo>
                  <a:pt x="363165" y="42493"/>
                </a:moveTo>
                <a:cubicBezTo>
                  <a:pt x="332543" y="26473"/>
                  <a:pt x="297123" y="15107"/>
                  <a:pt x="259345" y="9178"/>
                </a:cubicBezTo>
                <a:cubicBezTo>
                  <a:pt x="230951" y="3598"/>
                  <a:pt x="201603" y="513"/>
                  <a:pt x="172033" y="0"/>
                </a:cubicBezTo>
                <a:cubicBezTo>
                  <a:pt x="142438" y="-44"/>
                  <a:pt x="113016" y="3053"/>
                  <a:pt x="84857" y="9178"/>
                </a:cubicBezTo>
                <a:cubicBezTo>
                  <a:pt x="56675" y="14226"/>
                  <a:pt x="29742" y="22018"/>
                  <a:pt x="4911" y="32306"/>
                </a:cubicBezTo>
                <a:lnTo>
                  <a:pt x="0" y="36069"/>
                </a:lnTo>
                <a:cubicBezTo>
                  <a:pt x="39664" y="43272"/>
                  <a:pt x="76776" y="55755"/>
                  <a:pt x="109141" y="72780"/>
                </a:cubicBezTo>
                <a:cubicBezTo>
                  <a:pt x="134579" y="85353"/>
                  <a:pt x="149418" y="105421"/>
                  <a:pt x="148977" y="126653"/>
                </a:cubicBezTo>
                <a:lnTo>
                  <a:pt x="148977" y="142990"/>
                </a:lnTo>
                <a:lnTo>
                  <a:pt x="384311" y="142990"/>
                </a:lnTo>
                <a:lnTo>
                  <a:pt x="384311" y="71128"/>
                </a:lnTo>
                <a:cubicBezTo>
                  <a:pt x="384777" y="59812"/>
                  <a:pt x="376852" y="49080"/>
                  <a:pt x="363165" y="42493"/>
                </a:cubicBezTo>
                <a:close/>
              </a:path>
            </a:pathLst>
          </a:cu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tr-TR"/>
          </a:p>
        </xdr:txBody>
      </xdr:sp>
      <xdr:sp macro="" textlink="">
        <xdr:nvSpPr>
          <xdr:cNvPr id="58" name="Serbest Form: Şekil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SpPr/>
        </xdr:nvSpPr>
        <xdr:spPr>
          <a:xfrm>
            <a:off x="11893957" y="942958"/>
            <a:ext cx="384857" cy="142989"/>
          </a:xfrm>
          <a:custGeom>
            <a:avLst/>
            <a:gdLst>
              <a:gd name="connsiteX0" fmla="*/ 235880 w 384857"/>
              <a:gd name="connsiteY0" fmla="*/ 126653 h 142989"/>
              <a:gd name="connsiteX1" fmla="*/ 274216 w 384857"/>
              <a:gd name="connsiteY1" fmla="*/ 73698 h 142989"/>
              <a:gd name="connsiteX2" fmla="*/ 275716 w 384857"/>
              <a:gd name="connsiteY2" fmla="*/ 72780 h 142989"/>
              <a:gd name="connsiteX3" fmla="*/ 277490 w 384857"/>
              <a:gd name="connsiteY3" fmla="*/ 71954 h 142989"/>
              <a:gd name="connsiteX4" fmla="*/ 384857 w 384857"/>
              <a:gd name="connsiteY4" fmla="*/ 36161 h 142989"/>
              <a:gd name="connsiteX5" fmla="*/ 377081 w 384857"/>
              <a:gd name="connsiteY5" fmla="*/ 30195 h 142989"/>
              <a:gd name="connsiteX6" fmla="*/ 299591 w 384857"/>
              <a:gd name="connsiteY6" fmla="*/ 9178 h 142989"/>
              <a:gd name="connsiteX7" fmla="*/ 212415 w 384857"/>
              <a:gd name="connsiteY7" fmla="*/ 1 h 142989"/>
              <a:gd name="connsiteX8" fmla="*/ 125102 w 384857"/>
              <a:gd name="connsiteY8" fmla="*/ 9178 h 142989"/>
              <a:gd name="connsiteX9" fmla="*/ 21282 w 384857"/>
              <a:gd name="connsiteY9" fmla="*/ 42494 h 142989"/>
              <a:gd name="connsiteX10" fmla="*/ 0 w 384857"/>
              <a:gd name="connsiteY10" fmla="*/ 71128 h 142989"/>
              <a:gd name="connsiteX11" fmla="*/ 0 w 384857"/>
              <a:gd name="connsiteY11" fmla="*/ 142990 h 142989"/>
              <a:gd name="connsiteX12" fmla="*/ 235880 w 384857"/>
              <a:gd name="connsiteY12" fmla="*/ 142990 h 14298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384857" h="142989">
                <a:moveTo>
                  <a:pt x="235880" y="126653"/>
                </a:moveTo>
                <a:cubicBezTo>
                  <a:pt x="235902" y="105980"/>
                  <a:pt x="250036" y="86457"/>
                  <a:pt x="274216" y="73698"/>
                </a:cubicBezTo>
                <a:lnTo>
                  <a:pt x="275716" y="72780"/>
                </a:lnTo>
                <a:lnTo>
                  <a:pt x="277490" y="71954"/>
                </a:lnTo>
                <a:cubicBezTo>
                  <a:pt x="310238" y="56277"/>
                  <a:pt x="346478" y="44195"/>
                  <a:pt x="384857" y="36161"/>
                </a:cubicBezTo>
                <a:cubicBezTo>
                  <a:pt x="382128" y="34234"/>
                  <a:pt x="379536" y="32215"/>
                  <a:pt x="377081" y="30195"/>
                </a:cubicBezTo>
                <a:cubicBezTo>
                  <a:pt x="352876" y="20736"/>
                  <a:pt x="326781" y="13658"/>
                  <a:pt x="299591" y="9178"/>
                </a:cubicBezTo>
                <a:cubicBezTo>
                  <a:pt x="271242" y="3606"/>
                  <a:pt x="241940" y="521"/>
                  <a:pt x="212415" y="1"/>
                </a:cubicBezTo>
                <a:cubicBezTo>
                  <a:pt x="182774" y="-51"/>
                  <a:pt x="153307" y="3047"/>
                  <a:pt x="125102" y="9178"/>
                </a:cubicBezTo>
                <a:cubicBezTo>
                  <a:pt x="87854" y="16091"/>
                  <a:pt x="52709" y="27369"/>
                  <a:pt x="21282" y="42494"/>
                </a:cubicBezTo>
                <a:cubicBezTo>
                  <a:pt x="8049" y="49345"/>
                  <a:pt x="209" y="59895"/>
                  <a:pt x="0" y="71128"/>
                </a:cubicBezTo>
                <a:lnTo>
                  <a:pt x="0" y="142990"/>
                </a:lnTo>
                <a:lnTo>
                  <a:pt x="235880" y="142990"/>
                </a:lnTo>
                <a:close/>
              </a:path>
            </a:pathLst>
          </a:cu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tr-TR"/>
          </a:p>
        </xdr:txBody>
      </xdr:sp>
      <xdr:sp macro="" textlink="">
        <xdr:nvSpPr>
          <xdr:cNvPr id="59" name="Serbest Form: Şekil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SpPr/>
        </xdr:nvSpPr>
        <xdr:spPr>
          <a:xfrm>
            <a:off x="12177041" y="998574"/>
            <a:ext cx="424710" cy="142440"/>
          </a:xfrm>
          <a:custGeom>
            <a:avLst/>
            <a:gdLst>
              <a:gd name="connsiteX0" fmla="*/ 0 w 424710"/>
              <a:gd name="connsiteY0" fmla="*/ 142440 h 142440"/>
              <a:gd name="connsiteX1" fmla="*/ 0 w 424710"/>
              <a:gd name="connsiteY1" fmla="*/ 71037 h 142440"/>
              <a:gd name="connsiteX2" fmla="*/ 21282 w 424710"/>
              <a:gd name="connsiteY2" fmla="*/ 42495 h 142440"/>
              <a:gd name="connsiteX3" fmla="*/ 125102 w 424710"/>
              <a:gd name="connsiteY3" fmla="*/ 9179 h 142440"/>
              <a:gd name="connsiteX4" fmla="*/ 212278 w 424710"/>
              <a:gd name="connsiteY4" fmla="*/ 2 h 142440"/>
              <a:gd name="connsiteX5" fmla="*/ 299591 w 424710"/>
              <a:gd name="connsiteY5" fmla="*/ 9179 h 142440"/>
              <a:gd name="connsiteX6" fmla="*/ 403411 w 424710"/>
              <a:gd name="connsiteY6" fmla="*/ 42495 h 142440"/>
              <a:gd name="connsiteX7" fmla="*/ 424693 w 424710"/>
              <a:gd name="connsiteY7" fmla="*/ 71037 h 142440"/>
              <a:gd name="connsiteX8" fmla="*/ 424693 w 424710"/>
              <a:gd name="connsiteY8" fmla="*/ 142440 h 142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424710" h="142440">
                <a:moveTo>
                  <a:pt x="0" y="142440"/>
                </a:moveTo>
                <a:lnTo>
                  <a:pt x="0" y="71037"/>
                </a:lnTo>
                <a:cubicBezTo>
                  <a:pt x="64" y="59807"/>
                  <a:pt x="7940" y="49244"/>
                  <a:pt x="21282" y="42495"/>
                </a:cubicBezTo>
                <a:cubicBezTo>
                  <a:pt x="52647" y="27299"/>
                  <a:pt x="87810" y="16015"/>
                  <a:pt x="125102" y="9179"/>
                </a:cubicBezTo>
                <a:cubicBezTo>
                  <a:pt x="153248" y="3014"/>
                  <a:pt x="182678" y="-85"/>
                  <a:pt x="212278" y="2"/>
                </a:cubicBezTo>
                <a:cubicBezTo>
                  <a:pt x="241856" y="469"/>
                  <a:pt x="271212" y="3555"/>
                  <a:pt x="299591" y="9179"/>
                </a:cubicBezTo>
                <a:cubicBezTo>
                  <a:pt x="337410" y="15030"/>
                  <a:pt x="372853" y="26403"/>
                  <a:pt x="403411" y="42495"/>
                </a:cubicBezTo>
                <a:cubicBezTo>
                  <a:pt x="417146" y="49021"/>
                  <a:pt x="425131" y="59730"/>
                  <a:pt x="424693" y="71037"/>
                </a:cubicBezTo>
                <a:lnTo>
                  <a:pt x="424693" y="142440"/>
                </a:lnTo>
                <a:close/>
              </a:path>
            </a:pathLst>
          </a:cu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tr-TR"/>
          </a:p>
        </xdr:txBody>
      </xdr:sp>
      <xdr:sp macro="" textlink="">
        <xdr:nvSpPr>
          <xdr:cNvPr id="60" name="Serbest Form: Şekil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SpPr/>
        </xdr:nvSpPr>
        <xdr:spPr>
          <a:xfrm>
            <a:off x="12283180" y="836314"/>
            <a:ext cx="212278" cy="142805"/>
          </a:xfrm>
          <a:custGeom>
            <a:avLst/>
            <a:gdLst>
              <a:gd name="connsiteX0" fmla="*/ 212278 w 212278"/>
              <a:gd name="connsiteY0" fmla="*/ 71403 h 142805"/>
              <a:gd name="connsiteX1" fmla="*/ 106139 w 212278"/>
              <a:gd name="connsiteY1" fmla="*/ 142806 h 142805"/>
              <a:gd name="connsiteX2" fmla="*/ 0 w 212278"/>
              <a:gd name="connsiteY2" fmla="*/ 71403 h 142805"/>
              <a:gd name="connsiteX3" fmla="*/ 106139 w 212278"/>
              <a:gd name="connsiteY3" fmla="*/ 0 h 142805"/>
              <a:gd name="connsiteX4" fmla="*/ 212278 w 212278"/>
              <a:gd name="connsiteY4" fmla="*/ 71403 h 1428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2278" h="142805">
                <a:moveTo>
                  <a:pt x="212278" y="71403"/>
                </a:moveTo>
                <a:cubicBezTo>
                  <a:pt x="212278" y="110838"/>
                  <a:pt x="164758" y="142806"/>
                  <a:pt x="106139" y="142806"/>
                </a:cubicBezTo>
                <a:cubicBezTo>
                  <a:pt x="47520" y="142806"/>
                  <a:pt x="0" y="110838"/>
                  <a:pt x="0" y="71403"/>
                </a:cubicBezTo>
                <a:cubicBezTo>
                  <a:pt x="0" y="31968"/>
                  <a:pt x="47520" y="0"/>
                  <a:pt x="106139" y="0"/>
                </a:cubicBezTo>
                <a:cubicBezTo>
                  <a:pt x="164758" y="0"/>
                  <a:pt x="212278" y="31968"/>
                  <a:pt x="212278" y="71403"/>
                </a:cubicBezTo>
                <a:close/>
              </a:path>
            </a:pathLst>
          </a:cu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endParaRPr lang="tr-TR"/>
          </a:p>
        </xdr:txBody>
      </xdr:sp>
    </xdr:grpSp>
    <xdr:clientData/>
  </xdr:twoCellAnchor>
  <xdr:twoCellAnchor>
    <xdr:from>
      <xdr:col>22</xdr:col>
      <xdr:colOff>404812</xdr:colOff>
      <xdr:row>3</xdr:row>
      <xdr:rowOff>95250</xdr:rowOff>
    </xdr:from>
    <xdr:to>
      <xdr:col>30</xdr:col>
      <xdr:colOff>464344</xdr:colOff>
      <xdr:row>6</xdr:row>
      <xdr:rowOff>0</xdr:rowOff>
    </xdr:to>
    <xdr:sp macro="" textlink="Y24">
      <xdr:nvSpPr>
        <xdr:cNvPr id="62" name="Çerçeve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>
        <a:xfrm>
          <a:off x="14049375" y="666750"/>
          <a:ext cx="5143500" cy="476250"/>
        </a:xfrm>
        <a:prstGeom prst="fram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EFB0012-F893-4E72-AA57-8220A18FA936}" type="TxLink">
            <a:rPr lang="en-US" sz="1100" b="1" i="0" u="none" strike="noStrike">
              <a:solidFill>
                <a:schemeClr val="accent4">
                  <a:lumMod val="40000"/>
                  <a:lumOff val="60000"/>
                </a:schemeClr>
              </a:solidFill>
              <a:effectLst>
                <a:reflection blurRad="6350" stA="55000" endA="300" endPos="45500" dir="5400000" sy="-100000" algn="bl" rotWithShape="0"/>
              </a:effectLst>
              <a:latin typeface="Rockwell Extra Bold" panose="02060903040505020403" pitchFamily="18" charset="0"/>
              <a:cs typeface="Calibri"/>
            </a:rPr>
            <a:pPr algn="ctr"/>
            <a:t>HÜSEYİN ARSLAN SATIŞ TABLOSU</a:t>
          </a:fld>
          <a:endParaRPr lang="tr-TR" sz="1100" b="1">
            <a:solidFill>
              <a:schemeClr val="accent4">
                <a:lumMod val="40000"/>
                <a:lumOff val="60000"/>
              </a:schemeClr>
            </a:solidFill>
            <a:effectLst>
              <a:reflection blurRad="6350" stA="55000" endA="300" endPos="45500" dir="5400000" sy="-100000" algn="bl" rotWithShape="0"/>
            </a:effectLst>
            <a:latin typeface="Rockwell Extra Bold" panose="02060903040505020403" pitchFamily="18" charset="0"/>
          </a:endParaRPr>
        </a:p>
      </xdr:txBody>
    </xdr:sp>
    <xdr:clientData/>
  </xdr:twoCellAnchor>
  <xdr:twoCellAnchor>
    <xdr:from>
      <xdr:col>23</xdr:col>
      <xdr:colOff>190500</xdr:colOff>
      <xdr:row>20</xdr:row>
      <xdr:rowOff>95250</xdr:rowOff>
    </xdr:from>
    <xdr:to>
      <xdr:col>29</xdr:col>
      <xdr:colOff>273843</xdr:colOff>
      <xdr:row>22</xdr:row>
      <xdr:rowOff>83344</xdr:rowOff>
    </xdr:to>
    <xdr:sp macro="" textlink="AA26">
      <xdr:nvSpPr>
        <xdr:cNvPr id="4096" name="Çerçeve 4095">
          <a:extLst>
            <a:ext uri="{FF2B5EF4-FFF2-40B4-BE49-F238E27FC236}">
              <a16:creationId xmlns:a16="http://schemas.microsoft.com/office/drawing/2014/main" id="{00000000-0008-0000-0600-000000100000}"/>
            </a:ext>
          </a:extLst>
        </xdr:cNvPr>
        <xdr:cNvSpPr/>
      </xdr:nvSpPr>
      <xdr:spPr>
        <a:xfrm>
          <a:off x="14442281" y="3905250"/>
          <a:ext cx="3810000" cy="369094"/>
        </a:xfrm>
        <a:prstGeom prst="fram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ABC1D5A-988E-4CF0-9650-F2FEFEDAD50E}" type="TxLink">
            <a:rPr lang="en-US" sz="1100" b="1" i="0" u="none" strike="noStrike">
              <a:solidFill>
                <a:schemeClr val="tx2">
                  <a:lumMod val="40000"/>
                  <a:lumOff val="60000"/>
                </a:schemeClr>
              </a:solidFill>
              <a:effectLst>
                <a:reflection blurRad="6350" stA="55000" endA="300" endPos="45500" dir="5400000" sy="-100000" algn="bl" rotWithShape="0"/>
              </a:effectLst>
              <a:latin typeface="Arial" panose="020B0604020202020204" pitchFamily="34" charset="0"/>
              <a:cs typeface="Arial" panose="020B0604020202020204" pitchFamily="34" charset="0"/>
            </a:rPr>
            <a:pPr algn="ctr"/>
            <a:t>HÜSEYİN ARSLAN TOPLAM SATIŞ (TUTAR)</a:t>
          </a:fld>
          <a:endParaRPr lang="tr-TR" sz="1100" b="1">
            <a:solidFill>
              <a:schemeClr val="tx2">
                <a:lumMod val="40000"/>
                <a:lumOff val="60000"/>
              </a:schemeClr>
            </a:solidFill>
            <a:effectLst>
              <a:reflection blurRad="6350" stA="55000" endA="300" endPos="45500" dir="5400000" sy="-100000" algn="bl" rotWithShape="0"/>
            </a:effectLst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18</xdr:col>
      <xdr:colOff>571501</xdr:colOff>
      <xdr:row>21</xdr:row>
      <xdr:rowOff>178594</xdr:rowOff>
    </xdr:from>
    <xdr:to>
      <xdr:col>20</xdr:col>
      <xdr:colOff>283370</xdr:colOff>
      <xdr:row>26</xdr:row>
      <xdr:rowOff>140494</xdr:rowOff>
    </xdr:to>
    <xdr:pic>
      <xdr:nvPicPr>
        <xdr:cNvPr id="4101" name="Grafik 4100" descr="Sunu çubuk grafiği sağdan sola">
          <a:extLst>
            <a:ext uri="{FF2B5EF4-FFF2-40B4-BE49-F238E27FC236}">
              <a16:creationId xmlns:a16="http://schemas.microsoft.com/office/drawing/2014/main" id="{00000000-0008-0000-0600-000005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691939" y="4179094"/>
          <a:ext cx="914400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23812</xdr:colOff>
      <xdr:row>1</xdr:row>
      <xdr:rowOff>71437</xdr:rowOff>
    </xdr:from>
    <xdr:to>
      <xdr:col>32</xdr:col>
      <xdr:colOff>119063</xdr:colOff>
      <xdr:row>20</xdr:row>
      <xdr:rowOff>0</xdr:rowOff>
    </xdr:to>
    <xdr:sp macro="" textlink="">
      <xdr:nvSpPr>
        <xdr:cNvPr id="119" name="Oval 118">
          <a:extLst>
            <a:ext uri="{FF2B5EF4-FFF2-40B4-BE49-F238E27FC236}">
              <a16:creationId xmlns:a16="http://schemas.microsoft.com/office/drawing/2014/main" id="{00000000-0008-0000-0700-000077000000}"/>
            </a:ext>
          </a:extLst>
        </xdr:cNvPr>
        <xdr:cNvSpPr/>
      </xdr:nvSpPr>
      <xdr:spPr>
        <a:xfrm>
          <a:off x="15811500" y="261937"/>
          <a:ext cx="3738563" cy="3548063"/>
        </a:xfrm>
        <a:prstGeom prst="ellipse">
          <a:avLst/>
        </a:prstGeom>
        <a:solidFill>
          <a:schemeClr val="accent2">
            <a:alpha val="49000"/>
          </a:schemeClr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28</xdr:col>
      <xdr:colOff>437605</xdr:colOff>
      <xdr:row>4</xdr:row>
      <xdr:rowOff>46638</xdr:rowOff>
    </xdr:from>
    <xdr:to>
      <xdr:col>29</xdr:col>
      <xdr:colOff>236836</xdr:colOff>
      <xdr:row>15</xdr:row>
      <xdr:rowOff>52631</xdr:rowOff>
    </xdr:to>
    <xdr:grpSp>
      <xdr:nvGrpSpPr>
        <xdr:cNvPr id="35" name="ibre3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pSpPr/>
      </xdr:nvGrpSpPr>
      <xdr:grpSpPr>
        <a:xfrm rot="6418079">
          <a:off x="16592208" y="1656160"/>
          <a:ext cx="2101493" cy="406450"/>
          <a:chOff x="13262030" y="4512469"/>
          <a:chExt cx="2094350" cy="408831"/>
        </a:xfrm>
      </xdr:grpSpPr>
      <xdr:sp macro="" textlink="">
        <xdr:nvSpPr>
          <xdr:cNvPr id="23" name="İkizkenar Üçgen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SpPr/>
        </xdr:nvSpPr>
        <xdr:spPr>
          <a:xfrm rot="15573301">
            <a:off x="13681753" y="4284052"/>
            <a:ext cx="217525" cy="1056972"/>
          </a:xfrm>
          <a:prstGeom prst="triangle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300" name="İkizkenar Üçgen 299">
            <a:extLst>
              <a:ext uri="{FF2B5EF4-FFF2-40B4-BE49-F238E27FC236}">
                <a16:creationId xmlns:a16="http://schemas.microsoft.com/office/drawing/2014/main" id="{00000000-0008-0000-0700-00002C010000}"/>
              </a:ext>
            </a:extLst>
          </xdr:cNvPr>
          <xdr:cNvSpPr/>
        </xdr:nvSpPr>
        <xdr:spPr>
          <a:xfrm rot="4773301">
            <a:off x="14719131" y="4092746"/>
            <a:ext cx="217525" cy="1056972"/>
          </a:xfrm>
          <a:prstGeom prst="triangl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17</xdr:col>
      <xdr:colOff>500062</xdr:colOff>
      <xdr:row>3</xdr:row>
      <xdr:rowOff>107156</xdr:rowOff>
    </xdr:from>
    <xdr:to>
      <xdr:col>22</xdr:col>
      <xdr:colOff>261937</xdr:colOff>
      <xdr:row>19</xdr:row>
      <xdr:rowOff>23813</xdr:rowOff>
    </xdr:to>
    <xdr:sp macro="" textlink="">
      <xdr:nvSpPr>
        <xdr:cNvPr id="179" name="Blok Yay 178">
          <a:extLst>
            <a:ext uri="{FF2B5EF4-FFF2-40B4-BE49-F238E27FC236}">
              <a16:creationId xmlns:a16="http://schemas.microsoft.com/office/drawing/2014/main" id="{00000000-0008-0000-0700-0000B3000000}"/>
            </a:ext>
          </a:extLst>
        </xdr:cNvPr>
        <xdr:cNvSpPr/>
      </xdr:nvSpPr>
      <xdr:spPr>
        <a:xfrm>
          <a:off x="10822781" y="678656"/>
          <a:ext cx="2797969" cy="2964657"/>
        </a:xfrm>
        <a:prstGeom prst="blockArc">
          <a:avLst>
            <a:gd name="adj1" fmla="val 10733576"/>
            <a:gd name="adj2" fmla="val 27164"/>
            <a:gd name="adj3" fmla="val 12050"/>
          </a:avLst>
        </a:prstGeom>
        <a:gradFill flip="none" rotWithShape="1">
          <a:gsLst>
            <a:gs pos="0">
              <a:schemeClr val="accent2"/>
            </a:gs>
            <a:gs pos="100000">
              <a:schemeClr val="accent1"/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462900</xdr:colOff>
      <xdr:row>4</xdr:row>
      <xdr:rowOff>84525</xdr:rowOff>
    </xdr:from>
    <xdr:to>
      <xdr:col>20</xdr:col>
      <xdr:colOff>267333</xdr:colOff>
      <xdr:row>16</xdr:row>
      <xdr:rowOff>24703</xdr:rowOff>
    </xdr:to>
    <xdr:grpSp>
      <xdr:nvGrpSpPr>
        <xdr:cNvPr id="18" name="ibre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 rot="7623503">
          <a:off x="11092793" y="1753788"/>
          <a:ext cx="2226178" cy="411652"/>
          <a:chOff x="5162289" y="6667499"/>
          <a:chExt cx="2204746" cy="418795"/>
        </a:xfrm>
      </xdr:grpSpPr>
      <xdr:sp macro="" textlink="">
        <xdr:nvSpPr>
          <xdr:cNvPr id="17" name="İkizkenar Üçgen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 rot="15506665">
            <a:off x="5620957" y="6428709"/>
            <a:ext cx="198917" cy="1116253"/>
          </a:xfrm>
          <a:prstGeom prst="triangl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96" name="İkizkenar Üçgen 195">
            <a:extLst>
              <a:ext uri="{FF2B5EF4-FFF2-40B4-BE49-F238E27FC236}">
                <a16:creationId xmlns:a16="http://schemas.microsoft.com/office/drawing/2014/main" id="{00000000-0008-0000-0700-0000C4000000}"/>
              </a:ext>
            </a:extLst>
          </xdr:cNvPr>
          <xdr:cNvSpPr/>
        </xdr:nvSpPr>
        <xdr:spPr>
          <a:xfrm rot="4706665">
            <a:off x="6709450" y="6208831"/>
            <a:ext cx="198917" cy="1116253"/>
          </a:xfrm>
          <a:prstGeom prst="triangl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11</xdr:col>
      <xdr:colOff>127393</xdr:colOff>
      <xdr:row>5</xdr:row>
      <xdr:rowOff>72829</xdr:rowOff>
    </xdr:from>
    <xdr:to>
      <xdr:col>11</xdr:col>
      <xdr:colOff>584121</xdr:colOff>
      <xdr:row>17</xdr:row>
      <xdr:rowOff>50524</xdr:rowOff>
    </xdr:to>
    <xdr:grpSp>
      <xdr:nvGrpSpPr>
        <xdr:cNvPr id="25" name="ibre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GrpSpPr/>
      </xdr:nvGrpSpPr>
      <xdr:grpSpPr>
        <a:xfrm rot="7297627">
          <a:off x="5903315" y="1928813"/>
          <a:ext cx="2263695" cy="456728"/>
          <a:chOff x="5610423" y="5464969"/>
          <a:chExt cx="2254170" cy="456728"/>
        </a:xfrm>
        <a:solidFill>
          <a:srgbClr val="FF0000"/>
        </a:solidFill>
      </xdr:grpSpPr>
      <xdr:sp macro="" textlink="">
        <xdr:nvSpPr>
          <xdr:cNvPr id="20" name="İkizkenar Üçgen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 rot="15326647">
            <a:off x="6100386" y="5262193"/>
            <a:ext cx="169541" cy="1149468"/>
          </a:xfrm>
          <a:prstGeom prst="triangl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4" name="İkizkenar Üçgen 23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SpPr/>
        </xdr:nvSpPr>
        <xdr:spPr>
          <a:xfrm rot="4526647">
            <a:off x="7205088" y="4975006"/>
            <a:ext cx="169541" cy="1149468"/>
          </a:xfrm>
          <a:prstGeom prst="triangl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0</xdr:col>
      <xdr:colOff>11906</xdr:colOff>
      <xdr:row>6</xdr:row>
      <xdr:rowOff>71437</xdr:rowOff>
    </xdr:from>
    <xdr:to>
      <xdr:col>3</xdr:col>
      <xdr:colOff>202406</xdr:colOff>
      <xdr:row>9</xdr:row>
      <xdr:rowOff>178593</xdr:rowOff>
    </xdr:to>
    <xdr:sp macro="[0]!RAPOR1" textlink="">
      <xdr:nvSpPr>
        <xdr:cNvPr id="2" name="Dolu Çerçev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906" y="1214437"/>
          <a:ext cx="2019300" cy="678656"/>
        </a:xfrm>
        <a:prstGeom prst="bevel">
          <a:avLst/>
        </a:prstGeom>
        <a:solidFill>
          <a:schemeClr val="accent1"/>
        </a:solidFill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chemeClr val="bg1"/>
              </a:solidFill>
            </a:rPr>
            <a:t>    </a:t>
          </a:r>
        </a:p>
        <a:p>
          <a:pPr algn="l"/>
          <a:r>
            <a:rPr lang="tr-TR" sz="1200">
              <a:solidFill>
                <a:schemeClr val="bg1"/>
              </a:solidFill>
              <a:latin typeface="Arial Narrow" panose="020B0606020202030204" pitchFamily="34" charset="0"/>
            </a:rPr>
            <a:t>   </a:t>
          </a:r>
          <a:r>
            <a:rPr lang="tr-TR" sz="1200" baseline="0">
              <a:solidFill>
                <a:schemeClr val="bg1"/>
              </a:solidFill>
              <a:latin typeface="Arial Narrow" panose="020B0606020202030204" pitchFamily="34" charset="0"/>
            </a:rPr>
            <a:t>  </a:t>
          </a:r>
          <a:r>
            <a:rPr lang="tr-TR" sz="1200" b="1">
              <a:solidFill>
                <a:schemeClr val="bg1"/>
              </a:solidFill>
              <a:latin typeface="Arial Narrow" panose="020B0606020202030204" pitchFamily="34" charset="0"/>
            </a:rPr>
            <a:t>GENEL</a:t>
          </a:r>
          <a:r>
            <a:rPr lang="tr-TR" sz="1200" b="1" baseline="0">
              <a:solidFill>
                <a:schemeClr val="bg1"/>
              </a:solidFill>
              <a:latin typeface="Arial Narrow" panose="020B0606020202030204" pitchFamily="34" charset="0"/>
            </a:rPr>
            <a:t> SATIŞ RAPORU</a:t>
          </a:r>
          <a:endParaRPr lang="tr-TR" sz="1200" b="1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0</xdr:col>
      <xdr:colOff>11906</xdr:colOff>
      <xdr:row>14</xdr:row>
      <xdr:rowOff>83343</xdr:rowOff>
    </xdr:from>
    <xdr:to>
      <xdr:col>3</xdr:col>
      <xdr:colOff>202406</xdr:colOff>
      <xdr:row>17</xdr:row>
      <xdr:rowOff>190499</xdr:rowOff>
    </xdr:to>
    <xdr:sp macro="[0]!rapor2" textlink="">
      <xdr:nvSpPr>
        <xdr:cNvPr id="3" name="Dolu Çerçev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906" y="2750343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BÖLGE SATIŞ RAPORU</a:t>
          </a:r>
        </a:p>
      </xdr:txBody>
    </xdr:sp>
    <xdr:clientData/>
  </xdr:twoCellAnchor>
  <xdr:twoCellAnchor>
    <xdr:from>
      <xdr:col>0</xdr:col>
      <xdr:colOff>11906</xdr:colOff>
      <xdr:row>23</xdr:row>
      <xdr:rowOff>59533</xdr:rowOff>
    </xdr:from>
    <xdr:to>
      <xdr:col>3</xdr:col>
      <xdr:colOff>202406</xdr:colOff>
      <xdr:row>26</xdr:row>
      <xdr:rowOff>166689</xdr:rowOff>
    </xdr:to>
    <xdr:sp macro="[0]!RAPOR3" textlink="">
      <xdr:nvSpPr>
        <xdr:cNvPr id="4" name="Dolu Çerçev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1906" y="4441033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</a:t>
          </a:r>
        </a:p>
        <a:p>
          <a:pPr algn="l"/>
          <a:r>
            <a:rPr lang="tr-TR" sz="1100"/>
            <a:t> 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ŞUBE SATIŞ RAPORU</a:t>
          </a:r>
        </a:p>
      </xdr:txBody>
    </xdr:sp>
    <xdr:clientData/>
  </xdr:twoCellAnchor>
  <xdr:twoCellAnchor>
    <xdr:from>
      <xdr:col>0</xdr:col>
      <xdr:colOff>11906</xdr:colOff>
      <xdr:row>32</xdr:row>
      <xdr:rowOff>83344</xdr:rowOff>
    </xdr:from>
    <xdr:to>
      <xdr:col>3</xdr:col>
      <xdr:colOff>202406</xdr:colOff>
      <xdr:row>36</xdr:row>
      <xdr:rowOff>0</xdr:rowOff>
    </xdr:to>
    <xdr:sp macro="[0]!RAPOR4" textlink="">
      <xdr:nvSpPr>
        <xdr:cNvPr id="5" name="Dolu Çerçev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1906" y="6179344"/>
          <a:ext cx="2019300" cy="678656"/>
        </a:xfrm>
        <a:prstGeom prst="bevel">
          <a:avLst/>
        </a:prstGeom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l"/>
          <a:r>
            <a:rPr lang="tr-TR" sz="1100"/>
            <a:t>  </a:t>
          </a:r>
          <a:r>
            <a:rPr lang="tr-TR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TEMSİLCİ SATIŞ RAPORU</a:t>
          </a:r>
        </a:p>
      </xdr:txBody>
    </xdr:sp>
    <xdr:clientData/>
  </xdr:twoCellAnchor>
  <xdr:twoCellAnchor>
    <xdr:from>
      <xdr:col>0</xdr:col>
      <xdr:colOff>11906</xdr:colOff>
      <xdr:row>39</xdr:row>
      <xdr:rowOff>178594</xdr:rowOff>
    </xdr:from>
    <xdr:to>
      <xdr:col>3</xdr:col>
      <xdr:colOff>202406</xdr:colOff>
      <xdr:row>43</xdr:row>
      <xdr:rowOff>95250</xdr:rowOff>
    </xdr:to>
    <xdr:sp macro="[0]!RAPOR5" textlink="">
      <xdr:nvSpPr>
        <xdr:cNvPr id="6" name="Dolu Çerçev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1906" y="7608094"/>
          <a:ext cx="2019300" cy="678656"/>
        </a:xfrm>
        <a:prstGeom prst="bevel">
          <a:avLst/>
        </a:prstGeom>
        <a:solidFill>
          <a:schemeClr val="tx1"/>
        </a:solidFill>
        <a:ln>
          <a:solidFill>
            <a:srgbClr val="FF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>
              <a:solidFill>
                <a:srgbClr val="FF0000"/>
              </a:solidFill>
            </a:rPr>
            <a:t>  </a:t>
          </a:r>
        </a:p>
        <a:p>
          <a:pPr algn="l"/>
          <a:r>
            <a:rPr lang="tr-TR" sz="1100">
              <a:solidFill>
                <a:srgbClr val="FF0000"/>
              </a:solidFill>
            </a:rPr>
            <a:t>  </a:t>
          </a:r>
          <a:r>
            <a:rPr lang="tr-TR" sz="1200" b="1">
              <a:solidFill>
                <a:srgbClr val="FF0000"/>
              </a:solidFill>
              <a:latin typeface="Arial Narrow" panose="020B0606020202030204" pitchFamily="34" charset="0"/>
              <a:ea typeface="+mn-ea"/>
              <a:cs typeface="+mn-cs"/>
            </a:rPr>
            <a:t>HEDEF SATIŞ RAPORU</a:t>
          </a:r>
        </a:p>
      </xdr:txBody>
    </xdr:sp>
    <xdr:clientData/>
  </xdr:twoCellAnchor>
  <xdr:twoCellAnchor>
    <xdr:from>
      <xdr:col>0</xdr:col>
      <xdr:colOff>11905</xdr:colOff>
      <xdr:row>0</xdr:row>
      <xdr:rowOff>190498</xdr:rowOff>
    </xdr:from>
    <xdr:to>
      <xdr:col>6</xdr:col>
      <xdr:colOff>464343</xdr:colOff>
      <xdr:row>5</xdr:row>
      <xdr:rowOff>23811</xdr:rowOff>
    </xdr:to>
    <xdr:sp macro="" textlink="">
      <xdr:nvSpPr>
        <xdr:cNvPr id="7" name="Çerçev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1905" y="190498"/>
          <a:ext cx="4110038" cy="785813"/>
        </a:xfrm>
        <a:prstGeom prst="frame">
          <a:avLst/>
        </a:prstGeom>
        <a:solidFill>
          <a:schemeClr val="accent2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tr-TR" sz="2400"/>
            <a:t>     </a:t>
          </a:r>
          <a:r>
            <a:rPr lang="tr-TR" sz="2400" b="0" cap="none" spc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Arial Narrow" panose="020B0606020202030204" pitchFamily="34" charset="0"/>
            </a:rPr>
            <a:t>HEDEF</a:t>
          </a:r>
          <a:r>
            <a:rPr lang="tr-TR" sz="2400" b="0" cap="none" spc="0" baseline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Arial Narrow" panose="020B0606020202030204" pitchFamily="34" charset="0"/>
            </a:rPr>
            <a:t> SATIŞ RAPORU</a:t>
          </a:r>
          <a:endParaRPr lang="tr-TR" sz="2400" b="0" cap="none" spc="0">
            <a:ln w="0"/>
            <a:solidFill>
              <a:schemeClr val="accent2">
                <a:lumMod val="7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8</xdr:col>
      <xdr:colOff>273844</xdr:colOff>
      <xdr:row>1</xdr:row>
      <xdr:rowOff>71436</xdr:rowOff>
    </xdr:from>
    <xdr:to>
      <xdr:col>14</xdr:col>
      <xdr:colOff>571499</xdr:colOff>
      <xdr:row>20</xdr:row>
      <xdr:rowOff>178593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5131594" y="261936"/>
          <a:ext cx="3940968" cy="3726657"/>
        </a:xfrm>
        <a:prstGeom prst="ellipse">
          <a:avLst/>
        </a:prstGeom>
        <a:noFill/>
        <a:ln w="19050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8</xdr:col>
      <xdr:colOff>369093</xdr:colOff>
      <xdr:row>1</xdr:row>
      <xdr:rowOff>166686</xdr:rowOff>
    </xdr:from>
    <xdr:to>
      <xdr:col>14</xdr:col>
      <xdr:colOff>464343</xdr:colOff>
      <xdr:row>20</xdr:row>
      <xdr:rowOff>95249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226843" y="357186"/>
          <a:ext cx="3738563" cy="3548063"/>
        </a:xfrm>
        <a:prstGeom prst="ellipse">
          <a:avLst/>
        </a:prstGeom>
        <a:solidFill>
          <a:srgbClr val="C00000">
            <a:alpha val="50000"/>
          </a:srgbClr>
        </a:solidFill>
        <a:ln w="2540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9</xdr:col>
      <xdr:colOff>214312</xdr:colOff>
      <xdr:row>4</xdr:row>
      <xdr:rowOff>178592</xdr:rowOff>
    </xdr:from>
    <xdr:to>
      <xdr:col>13</xdr:col>
      <xdr:colOff>583406</xdr:colOff>
      <xdr:row>20</xdr:row>
      <xdr:rowOff>95249</xdr:rowOff>
    </xdr:to>
    <xdr:sp macro="" textlink="">
      <xdr:nvSpPr>
        <xdr:cNvPr id="10" name="Blok Yay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5679281" y="940592"/>
          <a:ext cx="2797969" cy="2964657"/>
        </a:xfrm>
        <a:prstGeom prst="blockArc">
          <a:avLst>
            <a:gd name="adj1" fmla="val 10733576"/>
            <a:gd name="adj2" fmla="val 27164"/>
            <a:gd name="adj3" fmla="val 12050"/>
          </a:avLst>
        </a:prstGeom>
        <a:gradFill flip="none" rotWithShape="1">
          <a:gsLst>
            <a:gs pos="0">
              <a:schemeClr val="accent1">
                <a:lumMod val="75000"/>
                <a:alpha val="50000"/>
              </a:schemeClr>
            </a:gs>
            <a:gs pos="100000">
              <a:schemeClr val="accent4">
                <a:alpha val="50000"/>
              </a:schemeClr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154781</xdr:colOff>
      <xdr:row>10</xdr:row>
      <xdr:rowOff>59532</xdr:rowOff>
    </xdr:from>
    <xdr:to>
      <xdr:col>12</xdr:col>
      <xdr:colOff>35718</xdr:colOff>
      <xdr:row>12</xdr:row>
      <xdr:rowOff>166688</xdr:rowOff>
    </xdr:to>
    <xdr:grpSp>
      <xdr:nvGrpSpPr>
        <xdr:cNvPr id="19" name="Grup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pSpPr/>
      </xdr:nvGrpSpPr>
      <xdr:grpSpPr>
        <a:xfrm>
          <a:off x="6834187" y="1964532"/>
          <a:ext cx="488156" cy="488156"/>
          <a:chOff x="6786561" y="2012157"/>
          <a:chExt cx="488156" cy="488156"/>
        </a:xfrm>
      </xdr:grpSpPr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6858000" y="2012157"/>
            <a:ext cx="360000" cy="360000"/>
          </a:xfrm>
          <a:prstGeom prst="ellipse">
            <a:avLst/>
          </a:prstGeom>
          <a:gradFill>
            <a:gsLst>
              <a:gs pos="0">
                <a:schemeClr val="accent1">
                  <a:lumMod val="50000"/>
                </a:schemeClr>
              </a:gs>
              <a:gs pos="100000">
                <a:schemeClr val="bg1"/>
              </a:gs>
            </a:gsLst>
            <a:lin ang="16200000" scaled="0"/>
          </a:gra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3" name="Oval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6917530" y="2047875"/>
            <a:ext cx="250032" cy="226219"/>
          </a:xfrm>
          <a:prstGeom prst="ellipse">
            <a:avLst/>
          </a:prstGeom>
          <a:gradFill>
            <a:gsLst>
              <a:gs pos="0">
                <a:schemeClr val="bg1">
                  <a:alpha val="0"/>
                  <a:lumMod val="100000"/>
                </a:schemeClr>
              </a:gs>
              <a:gs pos="100000">
                <a:schemeClr val="bg1">
                  <a:lumMod val="0"/>
                </a:schemeClr>
              </a:gs>
            </a:gsLst>
            <a:lin ang="16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4" name="Oval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6786561" y="2405063"/>
            <a:ext cx="488156" cy="95250"/>
          </a:xfrm>
          <a:prstGeom prst="ellipse">
            <a:avLst/>
          </a:prstGeom>
          <a:gradFill flip="none" rotWithShape="1">
            <a:gsLst>
              <a:gs pos="0">
                <a:schemeClr val="tx1">
                  <a:alpha val="30000"/>
                </a:schemeClr>
              </a:gs>
              <a:gs pos="100000">
                <a:schemeClr val="bg1"/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9</xdr:col>
      <xdr:colOff>226218</xdr:colOff>
      <xdr:row>12</xdr:row>
      <xdr:rowOff>154781</xdr:rowOff>
    </xdr:from>
    <xdr:to>
      <xdr:col>9</xdr:col>
      <xdr:colOff>550218</xdr:colOff>
      <xdr:row>12</xdr:row>
      <xdr:rowOff>154781</xdr:rowOff>
    </xdr:to>
    <xdr:cxnSp macro="">
      <xdr:nvCxnSpPr>
        <xdr:cNvPr id="15" name="Düz Bağlayıcı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 flipV="1">
          <a:off x="5691187" y="2440781"/>
          <a:ext cx="324000" cy="0"/>
        </a:xfrm>
        <a:prstGeom prst="line">
          <a:avLst/>
        </a:prstGeom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285775</xdr:colOff>
      <xdr:row>10</xdr:row>
      <xdr:rowOff>94308</xdr:rowOff>
    </xdr:from>
    <xdr:to>
      <xdr:col>10</xdr:col>
      <xdr:colOff>2556</xdr:colOff>
      <xdr:row>10</xdr:row>
      <xdr:rowOff>141933</xdr:rowOff>
    </xdr:to>
    <xdr:cxnSp macro="">
      <xdr:nvCxnSpPr>
        <xdr:cNvPr id="26" name="Düz Bağlayıcı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/>
      </xdr:nvCxnSpPr>
      <xdr:spPr>
        <a:xfrm rot="180000">
          <a:off x="5750744" y="1999308"/>
          <a:ext cx="324000" cy="47625"/>
        </a:xfrm>
        <a:prstGeom prst="line">
          <a:avLst/>
        </a:prstGeom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461146</xdr:colOff>
      <xdr:row>6</xdr:row>
      <xdr:rowOff>20023</xdr:rowOff>
    </xdr:from>
    <xdr:to>
      <xdr:col>12</xdr:col>
      <xdr:colOff>461147</xdr:colOff>
      <xdr:row>7</xdr:row>
      <xdr:rowOff>153523</xdr:rowOff>
    </xdr:to>
    <xdr:cxnSp macro="">
      <xdr:nvCxnSpPr>
        <xdr:cNvPr id="27" name="Düz Bağlayıcı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rot="-2820000" flipV="1">
          <a:off x="7585772" y="1325022"/>
          <a:ext cx="324000" cy="1"/>
        </a:xfrm>
        <a:prstGeom prst="line">
          <a:avLst/>
        </a:prstGeom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428449</xdr:colOff>
      <xdr:row>8</xdr:row>
      <xdr:rowOff>85848</xdr:rowOff>
    </xdr:from>
    <xdr:to>
      <xdr:col>10</xdr:col>
      <xdr:colOff>145230</xdr:colOff>
      <xdr:row>9</xdr:row>
      <xdr:rowOff>3348</xdr:rowOff>
    </xdr:to>
    <xdr:cxnSp macro="">
      <xdr:nvCxnSpPr>
        <xdr:cNvPr id="28" name="Düz Bağlayıcı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CxnSpPr/>
      </xdr:nvCxnSpPr>
      <xdr:spPr>
        <a:xfrm rot="480000">
          <a:off x="5893418" y="1609848"/>
          <a:ext cx="324000" cy="108000"/>
        </a:xfrm>
        <a:prstGeom prst="line">
          <a:avLst/>
        </a:prstGeom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79782</xdr:colOff>
      <xdr:row>7</xdr:row>
      <xdr:rowOff>51633</xdr:rowOff>
    </xdr:from>
    <xdr:to>
      <xdr:col>10</xdr:col>
      <xdr:colOff>403782</xdr:colOff>
      <xdr:row>7</xdr:row>
      <xdr:rowOff>51634</xdr:rowOff>
    </xdr:to>
    <xdr:cxnSp macro="">
      <xdr:nvCxnSpPr>
        <xdr:cNvPr id="29" name="Düz Bağlayıcı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rot="2520000" flipV="1">
          <a:off x="6151970" y="1385133"/>
          <a:ext cx="324000" cy="1"/>
        </a:xfrm>
        <a:prstGeom prst="line">
          <a:avLst/>
        </a:prstGeom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562228</xdr:colOff>
      <xdr:row>5</xdr:row>
      <xdr:rowOff>64805</xdr:rowOff>
    </xdr:from>
    <xdr:to>
      <xdr:col>10</xdr:col>
      <xdr:colOff>562228</xdr:colOff>
      <xdr:row>7</xdr:row>
      <xdr:rowOff>7805</xdr:rowOff>
    </xdr:to>
    <xdr:cxnSp macro="">
      <xdr:nvCxnSpPr>
        <xdr:cNvPr id="30" name="Düz Bağlayıcı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/>
      </xdr:nvCxnSpPr>
      <xdr:spPr>
        <a:xfrm rot="3780000" flipV="1">
          <a:off x="6472416" y="1179305"/>
          <a:ext cx="324000" cy="0"/>
        </a:xfrm>
        <a:prstGeom prst="line">
          <a:avLst/>
        </a:prstGeom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335036</xdr:colOff>
      <xdr:row>5</xdr:row>
      <xdr:rowOff>2424</xdr:rowOff>
    </xdr:from>
    <xdr:to>
      <xdr:col>11</xdr:col>
      <xdr:colOff>335036</xdr:colOff>
      <xdr:row>6</xdr:row>
      <xdr:rowOff>135924</xdr:rowOff>
    </xdr:to>
    <xdr:cxnSp macro="">
      <xdr:nvCxnSpPr>
        <xdr:cNvPr id="31" name="Düz Bağlayıcı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/>
      </xdr:nvCxnSpPr>
      <xdr:spPr>
        <a:xfrm rot="5280000" flipV="1">
          <a:off x="6852442" y="1116924"/>
          <a:ext cx="324000" cy="0"/>
        </a:xfrm>
        <a:prstGeom prst="line">
          <a:avLst/>
        </a:prstGeom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105471</xdr:colOff>
      <xdr:row>5</xdr:row>
      <xdr:rowOff>32877</xdr:rowOff>
    </xdr:from>
    <xdr:to>
      <xdr:col>12</xdr:col>
      <xdr:colOff>105472</xdr:colOff>
      <xdr:row>6</xdr:row>
      <xdr:rowOff>166377</xdr:rowOff>
    </xdr:to>
    <xdr:cxnSp macro="">
      <xdr:nvCxnSpPr>
        <xdr:cNvPr id="32" name="Düz Bağlayıcı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CxnSpPr/>
      </xdr:nvCxnSpPr>
      <xdr:spPr>
        <a:xfrm rot="-4140000" flipV="1">
          <a:off x="7230097" y="1147376"/>
          <a:ext cx="324000" cy="1"/>
        </a:xfrm>
        <a:prstGeom prst="line">
          <a:avLst/>
        </a:prstGeom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593687</xdr:colOff>
      <xdr:row>8</xdr:row>
      <xdr:rowOff>59706</xdr:rowOff>
    </xdr:from>
    <xdr:to>
      <xdr:col>13</xdr:col>
      <xdr:colOff>310468</xdr:colOff>
      <xdr:row>8</xdr:row>
      <xdr:rowOff>59707</xdr:rowOff>
    </xdr:to>
    <xdr:cxnSp macro="">
      <xdr:nvCxnSpPr>
        <xdr:cNvPr id="33" name="Düz Bağlayıcı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rot="-1980000" flipV="1">
          <a:off x="7880312" y="1583706"/>
          <a:ext cx="324000" cy="1"/>
        </a:xfrm>
        <a:prstGeom prst="line">
          <a:avLst/>
        </a:prstGeom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173904</xdr:colOff>
      <xdr:row>10</xdr:row>
      <xdr:rowOff>55581</xdr:rowOff>
    </xdr:from>
    <xdr:to>
      <xdr:col>13</xdr:col>
      <xdr:colOff>497904</xdr:colOff>
      <xdr:row>10</xdr:row>
      <xdr:rowOff>55582</xdr:rowOff>
    </xdr:to>
    <xdr:cxnSp macro="">
      <xdr:nvCxnSpPr>
        <xdr:cNvPr id="34" name="Düz Bağlayıcı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CxnSpPr/>
      </xdr:nvCxnSpPr>
      <xdr:spPr>
        <a:xfrm rot="-600000" flipV="1">
          <a:off x="8067748" y="1960581"/>
          <a:ext cx="324000" cy="1"/>
        </a:xfrm>
        <a:prstGeom prst="line">
          <a:avLst/>
        </a:prstGeom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250028</xdr:colOff>
      <xdr:row>12</xdr:row>
      <xdr:rowOff>143189</xdr:rowOff>
    </xdr:from>
    <xdr:to>
      <xdr:col>13</xdr:col>
      <xdr:colOff>574028</xdr:colOff>
      <xdr:row>12</xdr:row>
      <xdr:rowOff>143190</xdr:rowOff>
    </xdr:to>
    <xdr:cxnSp macro="">
      <xdr:nvCxnSpPr>
        <xdr:cNvPr id="44" name="Düz Bağlayıcı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60000" flipV="1">
          <a:off x="8143872" y="2429189"/>
          <a:ext cx="324000" cy="1"/>
        </a:xfrm>
        <a:prstGeom prst="line">
          <a:avLst/>
        </a:prstGeom>
        <a:ln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297655</xdr:colOff>
      <xdr:row>11</xdr:row>
      <xdr:rowOff>7143</xdr:rowOff>
    </xdr:from>
    <xdr:to>
      <xdr:col>9</xdr:col>
      <xdr:colOff>495300</xdr:colOff>
      <xdr:row>12</xdr:row>
      <xdr:rowOff>71438</xdr:rowOff>
    </xdr:to>
    <xdr:grpSp>
      <xdr:nvGrpSpPr>
        <xdr:cNvPr id="55" name="Grup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GrpSpPr/>
      </xdr:nvGrpSpPr>
      <xdr:grpSpPr>
        <a:xfrm>
          <a:off x="5762624" y="2102643"/>
          <a:ext cx="197645" cy="254795"/>
          <a:chOff x="5762624" y="2102643"/>
          <a:chExt cx="197645" cy="254795"/>
        </a:xfrm>
      </xdr:grpSpPr>
      <xdr:cxnSp macro="">
        <xdr:nvCxnSpPr>
          <xdr:cNvPr id="47" name="Düz Bağlayıcı 46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Düz Bağlayıcı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Düz Bağlayıcı 52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Düz Bağlayıcı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404813</xdr:colOff>
      <xdr:row>9</xdr:row>
      <xdr:rowOff>11907</xdr:rowOff>
    </xdr:from>
    <xdr:to>
      <xdr:col>9</xdr:col>
      <xdr:colOff>602458</xdr:colOff>
      <xdr:row>10</xdr:row>
      <xdr:rowOff>76202</xdr:rowOff>
    </xdr:to>
    <xdr:grpSp>
      <xdr:nvGrpSpPr>
        <xdr:cNvPr id="56" name="Grup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GrpSpPr/>
      </xdr:nvGrpSpPr>
      <xdr:grpSpPr>
        <a:xfrm rot="1120221">
          <a:off x="5869782" y="1726407"/>
          <a:ext cx="197645" cy="254795"/>
          <a:chOff x="5762624" y="2102643"/>
          <a:chExt cx="197645" cy="254795"/>
        </a:xfrm>
      </xdr:grpSpPr>
      <xdr:cxnSp macro="">
        <xdr:nvCxnSpPr>
          <xdr:cNvPr id="57" name="Düz Bağlayıcı 56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Düz Bağlayıcı 57">
            <a:extLst>
              <a:ext uri="{FF2B5EF4-FFF2-40B4-BE49-F238E27FC236}">
                <a16:creationId xmlns:a16="http://schemas.microsoft.com/office/drawing/2014/main" id="{00000000-0008-0000-0700-00003A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Düz Bağlayıcı 58">
            <a:extLst>
              <a:ext uri="{FF2B5EF4-FFF2-40B4-BE49-F238E27FC236}">
                <a16:creationId xmlns:a16="http://schemas.microsoft.com/office/drawing/2014/main" id="{00000000-0008-0000-0700-00003B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Düz Bağlayıcı 59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23811</xdr:colOff>
      <xdr:row>7</xdr:row>
      <xdr:rowOff>59531</xdr:rowOff>
    </xdr:from>
    <xdr:to>
      <xdr:col>10</xdr:col>
      <xdr:colOff>221456</xdr:colOff>
      <xdr:row>8</xdr:row>
      <xdr:rowOff>123826</xdr:rowOff>
    </xdr:to>
    <xdr:grpSp>
      <xdr:nvGrpSpPr>
        <xdr:cNvPr id="61" name="Grup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GrpSpPr/>
      </xdr:nvGrpSpPr>
      <xdr:grpSpPr>
        <a:xfrm rot="1693444">
          <a:off x="6095999" y="1393031"/>
          <a:ext cx="197645" cy="254795"/>
          <a:chOff x="5762624" y="2102643"/>
          <a:chExt cx="197645" cy="254795"/>
        </a:xfrm>
      </xdr:grpSpPr>
      <xdr:cxnSp macro="">
        <xdr:nvCxnSpPr>
          <xdr:cNvPr id="62" name="Düz Bağlayıcı 61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Düz Bağlayıcı 62">
            <a:extLst>
              <a:ext uri="{FF2B5EF4-FFF2-40B4-BE49-F238E27FC236}">
                <a16:creationId xmlns:a16="http://schemas.microsoft.com/office/drawing/2014/main" id="{00000000-0008-0000-0700-00003F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Düz Bağlayıcı 63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5" name="Düz Bağlayıcı 64">
            <a:extLst>
              <a:ext uri="{FF2B5EF4-FFF2-40B4-BE49-F238E27FC236}">
                <a16:creationId xmlns:a16="http://schemas.microsoft.com/office/drawing/2014/main" id="{00000000-0008-0000-0700-000041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290512</xdr:colOff>
      <xdr:row>6</xdr:row>
      <xdr:rowOff>26194</xdr:rowOff>
    </xdr:from>
    <xdr:to>
      <xdr:col>10</xdr:col>
      <xdr:colOff>545307</xdr:colOff>
      <xdr:row>7</xdr:row>
      <xdr:rowOff>33339</xdr:rowOff>
    </xdr:to>
    <xdr:grpSp>
      <xdr:nvGrpSpPr>
        <xdr:cNvPr id="66" name="Grup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GrpSpPr/>
      </xdr:nvGrpSpPr>
      <xdr:grpSpPr>
        <a:xfrm rot="3297292">
          <a:off x="6391275" y="1140619"/>
          <a:ext cx="197645" cy="254795"/>
          <a:chOff x="5762624" y="2102643"/>
          <a:chExt cx="197645" cy="254795"/>
        </a:xfrm>
      </xdr:grpSpPr>
      <xdr:cxnSp macro="">
        <xdr:nvCxnSpPr>
          <xdr:cNvPr id="67" name="Düz Bağlayıcı 66">
            <a:extLst>
              <a:ext uri="{FF2B5EF4-FFF2-40B4-BE49-F238E27FC236}">
                <a16:creationId xmlns:a16="http://schemas.microsoft.com/office/drawing/2014/main" id="{00000000-0008-0000-0700-000043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8" name="Düz Bağlayıcı 67">
            <a:extLst>
              <a:ext uri="{FF2B5EF4-FFF2-40B4-BE49-F238E27FC236}">
                <a16:creationId xmlns:a16="http://schemas.microsoft.com/office/drawing/2014/main" id="{00000000-0008-0000-0700-000044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9" name="Düz Bağlayıcı 6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70" name="Düz Bağlayıcı 69">
            <a:extLst>
              <a:ext uri="{FF2B5EF4-FFF2-40B4-BE49-F238E27FC236}">
                <a16:creationId xmlns:a16="http://schemas.microsoft.com/office/drawing/2014/main" id="{00000000-0008-0000-0700-000046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2383</xdr:colOff>
      <xdr:row>5</xdr:row>
      <xdr:rowOff>83344</xdr:rowOff>
    </xdr:from>
    <xdr:to>
      <xdr:col>11</xdr:col>
      <xdr:colOff>257178</xdr:colOff>
      <xdr:row>6</xdr:row>
      <xdr:rowOff>90489</xdr:rowOff>
    </xdr:to>
    <xdr:grpSp>
      <xdr:nvGrpSpPr>
        <xdr:cNvPr id="71" name="Grup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GrpSpPr/>
      </xdr:nvGrpSpPr>
      <xdr:grpSpPr>
        <a:xfrm rot="4242487">
          <a:off x="6710364" y="1007269"/>
          <a:ext cx="197645" cy="254795"/>
          <a:chOff x="5762624" y="2102643"/>
          <a:chExt cx="197645" cy="254795"/>
        </a:xfrm>
      </xdr:grpSpPr>
      <xdr:cxnSp macro="">
        <xdr:nvCxnSpPr>
          <xdr:cNvPr id="72" name="Düz Bağlayıcı 71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73" name="Düz Bağlayıcı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74" name="Düz Bağlayıcı 73">
            <a:extLst>
              <a:ext uri="{FF2B5EF4-FFF2-40B4-BE49-F238E27FC236}">
                <a16:creationId xmlns:a16="http://schemas.microsoft.com/office/drawing/2014/main" id="{00000000-0008-0000-0700-00004A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75" name="Düz Bağlayıcı 74">
            <a:extLst>
              <a:ext uri="{FF2B5EF4-FFF2-40B4-BE49-F238E27FC236}">
                <a16:creationId xmlns:a16="http://schemas.microsoft.com/office/drawing/2014/main" id="{00000000-0008-0000-0700-00004B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392906</xdr:colOff>
      <xdr:row>5</xdr:row>
      <xdr:rowOff>57150</xdr:rowOff>
    </xdr:from>
    <xdr:to>
      <xdr:col>12</xdr:col>
      <xdr:colOff>40482</xdr:colOff>
      <xdr:row>6</xdr:row>
      <xdr:rowOff>64295</xdr:rowOff>
    </xdr:to>
    <xdr:grpSp>
      <xdr:nvGrpSpPr>
        <xdr:cNvPr id="76" name="Grup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GrpSpPr/>
      </xdr:nvGrpSpPr>
      <xdr:grpSpPr>
        <a:xfrm rot="5565348">
          <a:off x="7100887" y="981075"/>
          <a:ext cx="197645" cy="254795"/>
          <a:chOff x="5762624" y="2102643"/>
          <a:chExt cx="197645" cy="254795"/>
        </a:xfrm>
      </xdr:grpSpPr>
      <xdr:cxnSp macro="">
        <xdr:nvCxnSpPr>
          <xdr:cNvPr id="77" name="Düz Bağlayıcı 76">
            <a:extLst>
              <a:ext uri="{FF2B5EF4-FFF2-40B4-BE49-F238E27FC236}">
                <a16:creationId xmlns:a16="http://schemas.microsoft.com/office/drawing/2014/main" id="{00000000-0008-0000-0700-00004D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78" name="Düz Bağlayıcı 77">
            <a:extLst>
              <a:ext uri="{FF2B5EF4-FFF2-40B4-BE49-F238E27FC236}">
                <a16:creationId xmlns:a16="http://schemas.microsoft.com/office/drawing/2014/main" id="{00000000-0008-0000-0700-00004E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79" name="Düz Bağlayıcı 78">
            <a:extLst>
              <a:ext uri="{FF2B5EF4-FFF2-40B4-BE49-F238E27FC236}">
                <a16:creationId xmlns:a16="http://schemas.microsoft.com/office/drawing/2014/main" id="{00000000-0008-0000-0700-00004F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80" name="Düz Bağlayıcı 79">
            <a:extLst>
              <a:ext uri="{FF2B5EF4-FFF2-40B4-BE49-F238E27FC236}">
                <a16:creationId xmlns:a16="http://schemas.microsoft.com/office/drawing/2014/main" id="{00000000-0008-0000-0700-000050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164306</xdr:colOff>
      <xdr:row>5</xdr:row>
      <xdr:rowOff>185738</xdr:rowOff>
    </xdr:from>
    <xdr:to>
      <xdr:col>12</xdr:col>
      <xdr:colOff>419101</xdr:colOff>
      <xdr:row>7</xdr:row>
      <xdr:rowOff>2383</xdr:rowOff>
    </xdr:to>
    <xdr:grpSp>
      <xdr:nvGrpSpPr>
        <xdr:cNvPr id="81" name="Grup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GrpSpPr/>
      </xdr:nvGrpSpPr>
      <xdr:grpSpPr>
        <a:xfrm rot="7102558">
          <a:off x="7479506" y="1109663"/>
          <a:ext cx="197645" cy="254795"/>
          <a:chOff x="5762624" y="2102643"/>
          <a:chExt cx="197645" cy="254795"/>
        </a:xfrm>
      </xdr:grpSpPr>
      <xdr:cxnSp macro="">
        <xdr:nvCxnSpPr>
          <xdr:cNvPr id="82" name="Düz Bağlayıcı 81">
            <a:extLst>
              <a:ext uri="{FF2B5EF4-FFF2-40B4-BE49-F238E27FC236}">
                <a16:creationId xmlns:a16="http://schemas.microsoft.com/office/drawing/2014/main" id="{00000000-0008-0000-0700-000052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83" name="Düz Bağlayıcı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Düz Bağlayıcı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Düz Bağlayıcı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483393</xdr:colOff>
      <xdr:row>7</xdr:row>
      <xdr:rowOff>28574</xdr:rowOff>
    </xdr:from>
    <xdr:to>
      <xdr:col>13</xdr:col>
      <xdr:colOff>130969</xdr:colOff>
      <xdr:row>8</xdr:row>
      <xdr:rowOff>35719</xdr:rowOff>
    </xdr:to>
    <xdr:grpSp>
      <xdr:nvGrpSpPr>
        <xdr:cNvPr id="86" name="Grup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GrpSpPr/>
      </xdr:nvGrpSpPr>
      <xdr:grpSpPr>
        <a:xfrm rot="7836532">
          <a:off x="7798593" y="1333499"/>
          <a:ext cx="197645" cy="254795"/>
          <a:chOff x="5762624" y="2102643"/>
          <a:chExt cx="197645" cy="254795"/>
        </a:xfrm>
      </xdr:grpSpPr>
      <xdr:cxnSp macro="">
        <xdr:nvCxnSpPr>
          <xdr:cNvPr id="87" name="Düz Bağlayıcı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Düz Bağlayıcı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Düz Bağlayıcı 88">
            <a:extLst>
              <a:ext uri="{FF2B5EF4-FFF2-40B4-BE49-F238E27FC236}">
                <a16:creationId xmlns:a16="http://schemas.microsoft.com/office/drawing/2014/main" id="{00000000-0008-0000-0700-000059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90" name="Düz Bağlayıcı 89">
            <a:extLst>
              <a:ext uri="{FF2B5EF4-FFF2-40B4-BE49-F238E27FC236}">
                <a16:creationId xmlns:a16="http://schemas.microsoft.com/office/drawing/2014/main" id="{00000000-0008-0000-0700-00005A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164306</xdr:colOff>
      <xdr:row>8</xdr:row>
      <xdr:rowOff>116681</xdr:rowOff>
    </xdr:from>
    <xdr:to>
      <xdr:col>13</xdr:col>
      <xdr:colOff>361951</xdr:colOff>
      <xdr:row>9</xdr:row>
      <xdr:rowOff>180976</xdr:rowOff>
    </xdr:to>
    <xdr:grpSp>
      <xdr:nvGrpSpPr>
        <xdr:cNvPr id="91" name="Grup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GrpSpPr/>
      </xdr:nvGrpSpPr>
      <xdr:grpSpPr>
        <a:xfrm rot="8751137">
          <a:off x="8058150" y="1640681"/>
          <a:ext cx="197645" cy="254795"/>
          <a:chOff x="5762624" y="2102643"/>
          <a:chExt cx="197645" cy="254795"/>
        </a:xfrm>
      </xdr:grpSpPr>
      <xdr:cxnSp macro="">
        <xdr:nvCxnSpPr>
          <xdr:cNvPr id="92" name="Düz Bağlayıcı 91">
            <a:extLst>
              <a:ext uri="{FF2B5EF4-FFF2-40B4-BE49-F238E27FC236}">
                <a16:creationId xmlns:a16="http://schemas.microsoft.com/office/drawing/2014/main" id="{00000000-0008-0000-0700-00005C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93" name="Düz Bağlayıcı 92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94" name="Düz Bağlayıcı 93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95" name="Düz Bağlayıcı 94">
            <a:extLst>
              <a:ext uri="{FF2B5EF4-FFF2-40B4-BE49-F238E27FC236}">
                <a16:creationId xmlns:a16="http://schemas.microsoft.com/office/drawing/2014/main" id="{00000000-0008-0000-0700-00005F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280987</xdr:colOff>
      <xdr:row>10</xdr:row>
      <xdr:rowOff>185738</xdr:rowOff>
    </xdr:from>
    <xdr:to>
      <xdr:col>13</xdr:col>
      <xdr:colOff>478632</xdr:colOff>
      <xdr:row>12</xdr:row>
      <xdr:rowOff>59533</xdr:rowOff>
    </xdr:to>
    <xdr:grpSp>
      <xdr:nvGrpSpPr>
        <xdr:cNvPr id="96" name="Grup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GrpSpPr/>
      </xdr:nvGrpSpPr>
      <xdr:grpSpPr>
        <a:xfrm rot="9978032">
          <a:off x="8174831" y="2090738"/>
          <a:ext cx="197645" cy="254795"/>
          <a:chOff x="5762624" y="2102643"/>
          <a:chExt cx="197645" cy="254795"/>
        </a:xfrm>
      </xdr:grpSpPr>
      <xdr:cxnSp macro="">
        <xdr:nvCxnSpPr>
          <xdr:cNvPr id="97" name="Düz Bağlayıcı 96">
            <a:extLst>
              <a:ext uri="{FF2B5EF4-FFF2-40B4-BE49-F238E27FC236}">
                <a16:creationId xmlns:a16="http://schemas.microsoft.com/office/drawing/2014/main" id="{00000000-0008-0000-0700-000061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98" name="Düz Bağlayıcı 97">
            <a:extLst>
              <a:ext uri="{FF2B5EF4-FFF2-40B4-BE49-F238E27FC236}">
                <a16:creationId xmlns:a16="http://schemas.microsoft.com/office/drawing/2014/main" id="{00000000-0008-0000-0700-000062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99" name="Düz Bağlayıcı 98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00" name="Düz Bağlayıcı 99">
            <a:extLst>
              <a:ext uri="{FF2B5EF4-FFF2-40B4-BE49-F238E27FC236}">
                <a16:creationId xmlns:a16="http://schemas.microsoft.com/office/drawing/2014/main" id="{00000000-0008-0000-0700-000064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321470</xdr:colOff>
      <xdr:row>11</xdr:row>
      <xdr:rowOff>47624</xdr:rowOff>
    </xdr:from>
    <xdr:to>
      <xdr:col>9</xdr:col>
      <xdr:colOff>345281</xdr:colOff>
      <xdr:row>13</xdr:row>
      <xdr:rowOff>166687</xdr:rowOff>
    </xdr:to>
    <xdr:sp macro="" textlink="">
      <xdr:nvSpPr>
        <xdr:cNvPr id="106" name="Metin kutusu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SpPr txBox="1"/>
      </xdr:nvSpPr>
      <xdr:spPr>
        <a:xfrm>
          <a:off x="5179220" y="2143124"/>
          <a:ext cx="631030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>
              <a:latin typeface="+mn-lt"/>
            </a:rPr>
            <a:t>0%</a:t>
          </a:r>
        </a:p>
      </xdr:txBody>
    </xdr:sp>
    <xdr:clientData/>
  </xdr:twoCellAnchor>
  <xdr:twoCellAnchor>
    <xdr:from>
      <xdr:col>8</xdr:col>
      <xdr:colOff>369094</xdr:colOff>
      <xdr:row>9</xdr:row>
      <xdr:rowOff>11906</xdr:rowOff>
    </xdr:from>
    <xdr:to>
      <xdr:col>9</xdr:col>
      <xdr:colOff>333374</xdr:colOff>
      <xdr:row>11</xdr:row>
      <xdr:rowOff>130969</xdr:rowOff>
    </xdr:to>
    <xdr:sp macro="" textlink="">
      <xdr:nvSpPr>
        <xdr:cNvPr id="107" name="Metin kutusu 106">
          <a:extLst>
            <a:ext uri="{FF2B5EF4-FFF2-40B4-BE49-F238E27FC236}">
              <a16:creationId xmlns:a16="http://schemas.microsoft.com/office/drawing/2014/main" id="{00000000-0008-0000-0700-00006B000000}"/>
            </a:ext>
          </a:extLst>
        </xdr:cNvPr>
        <xdr:cNvSpPr txBox="1"/>
      </xdr:nvSpPr>
      <xdr:spPr>
        <a:xfrm>
          <a:off x="5226844" y="1726406"/>
          <a:ext cx="571499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>
              <a:latin typeface="+mn-lt"/>
            </a:rPr>
            <a:t>10%</a:t>
          </a:r>
        </a:p>
      </xdr:txBody>
    </xdr:sp>
    <xdr:clientData/>
  </xdr:twoCellAnchor>
  <xdr:twoCellAnchor>
    <xdr:from>
      <xdr:col>13</xdr:col>
      <xdr:colOff>392905</xdr:colOff>
      <xdr:row>8</xdr:row>
      <xdr:rowOff>107156</xdr:rowOff>
    </xdr:from>
    <xdr:to>
      <xdr:col>14</xdr:col>
      <xdr:colOff>357185</xdr:colOff>
      <xdr:row>11</xdr:row>
      <xdr:rowOff>35719</xdr:rowOff>
    </xdr:to>
    <xdr:sp macro="" textlink="">
      <xdr:nvSpPr>
        <xdr:cNvPr id="108" name="Metin kutusu 107">
          <a:extLst>
            <a:ext uri="{FF2B5EF4-FFF2-40B4-BE49-F238E27FC236}">
              <a16:creationId xmlns:a16="http://schemas.microsoft.com/office/drawing/2014/main" id="{00000000-0008-0000-0700-00006C000000}"/>
            </a:ext>
          </a:extLst>
        </xdr:cNvPr>
        <xdr:cNvSpPr txBox="1"/>
      </xdr:nvSpPr>
      <xdr:spPr>
        <a:xfrm>
          <a:off x="8286749" y="1631156"/>
          <a:ext cx="571499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>
              <a:latin typeface="+mn-lt"/>
            </a:rPr>
            <a:t>90%</a:t>
          </a:r>
        </a:p>
      </xdr:txBody>
    </xdr:sp>
    <xdr:clientData/>
  </xdr:twoCellAnchor>
  <xdr:twoCellAnchor>
    <xdr:from>
      <xdr:col>13</xdr:col>
      <xdr:colOff>188118</xdr:colOff>
      <xdr:row>6</xdr:row>
      <xdr:rowOff>9525</xdr:rowOff>
    </xdr:from>
    <xdr:to>
      <xdr:col>14</xdr:col>
      <xdr:colOff>152398</xdr:colOff>
      <xdr:row>8</xdr:row>
      <xdr:rowOff>128588</xdr:rowOff>
    </xdr:to>
    <xdr:sp macro="" textlink="">
      <xdr:nvSpPr>
        <xdr:cNvPr id="109" name="Metin kutusu 108">
          <a:extLst>
            <a:ext uri="{FF2B5EF4-FFF2-40B4-BE49-F238E27FC236}">
              <a16:creationId xmlns:a16="http://schemas.microsoft.com/office/drawing/2014/main" id="{00000000-0008-0000-0700-00006D000000}"/>
            </a:ext>
          </a:extLst>
        </xdr:cNvPr>
        <xdr:cNvSpPr txBox="1"/>
      </xdr:nvSpPr>
      <xdr:spPr>
        <a:xfrm>
          <a:off x="8081962" y="1152525"/>
          <a:ext cx="571499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>
              <a:latin typeface="+mn-lt"/>
            </a:rPr>
            <a:t>80%</a:t>
          </a:r>
        </a:p>
      </xdr:txBody>
    </xdr:sp>
    <xdr:clientData/>
  </xdr:twoCellAnchor>
  <xdr:twoCellAnchor>
    <xdr:from>
      <xdr:col>12</xdr:col>
      <xdr:colOff>459581</xdr:colOff>
      <xdr:row>4</xdr:row>
      <xdr:rowOff>66675</xdr:rowOff>
    </xdr:from>
    <xdr:to>
      <xdr:col>13</xdr:col>
      <xdr:colOff>423861</xdr:colOff>
      <xdr:row>6</xdr:row>
      <xdr:rowOff>185738</xdr:rowOff>
    </xdr:to>
    <xdr:sp macro="" textlink="">
      <xdr:nvSpPr>
        <xdr:cNvPr id="110" name="Metin kutusu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SpPr txBox="1"/>
      </xdr:nvSpPr>
      <xdr:spPr>
        <a:xfrm>
          <a:off x="7746206" y="828675"/>
          <a:ext cx="571499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>
              <a:latin typeface="+mn-lt"/>
            </a:rPr>
            <a:t>70%</a:t>
          </a:r>
        </a:p>
      </xdr:txBody>
    </xdr:sp>
    <xdr:clientData/>
  </xdr:twoCellAnchor>
  <xdr:twoCellAnchor>
    <xdr:from>
      <xdr:col>12</xdr:col>
      <xdr:colOff>4763</xdr:colOff>
      <xdr:row>2</xdr:row>
      <xdr:rowOff>171450</xdr:rowOff>
    </xdr:from>
    <xdr:to>
      <xdr:col>12</xdr:col>
      <xdr:colOff>576262</xdr:colOff>
      <xdr:row>5</xdr:row>
      <xdr:rowOff>100013</xdr:rowOff>
    </xdr:to>
    <xdr:sp macro="" textlink="">
      <xdr:nvSpPr>
        <xdr:cNvPr id="111" name="Metin kutusu 110">
          <a:extLst>
            <a:ext uri="{FF2B5EF4-FFF2-40B4-BE49-F238E27FC236}">
              <a16:creationId xmlns:a16="http://schemas.microsoft.com/office/drawing/2014/main" id="{00000000-0008-0000-0700-00006F000000}"/>
            </a:ext>
          </a:extLst>
        </xdr:cNvPr>
        <xdr:cNvSpPr txBox="1"/>
      </xdr:nvSpPr>
      <xdr:spPr>
        <a:xfrm rot="225139">
          <a:off x="7291388" y="552450"/>
          <a:ext cx="571499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>
              <a:latin typeface="+mn-lt"/>
            </a:rPr>
            <a:t>60%</a:t>
          </a:r>
        </a:p>
      </xdr:txBody>
    </xdr:sp>
    <xdr:clientData/>
  </xdr:twoCellAnchor>
  <xdr:twoCellAnchor>
    <xdr:from>
      <xdr:col>11</xdr:col>
      <xdr:colOff>107830</xdr:colOff>
      <xdr:row>2</xdr:row>
      <xdr:rowOff>55383</xdr:rowOff>
    </xdr:from>
    <xdr:to>
      <xdr:col>12</xdr:col>
      <xdr:colOff>18059</xdr:colOff>
      <xdr:row>5</xdr:row>
      <xdr:rowOff>88509</xdr:rowOff>
    </xdr:to>
    <xdr:sp macro="" textlink="">
      <xdr:nvSpPr>
        <xdr:cNvPr id="112" name="Metin kutusu 111">
          <a:extLst>
            <a:ext uri="{FF2B5EF4-FFF2-40B4-BE49-F238E27FC236}">
              <a16:creationId xmlns:a16="http://schemas.microsoft.com/office/drawing/2014/main" id="{00000000-0008-0000-0700-000070000000}"/>
            </a:ext>
          </a:extLst>
        </xdr:cNvPr>
        <xdr:cNvSpPr txBox="1"/>
      </xdr:nvSpPr>
      <xdr:spPr>
        <a:xfrm>
          <a:off x="6787236" y="436383"/>
          <a:ext cx="517448" cy="604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>
              <a:latin typeface="+mn-lt"/>
            </a:rPr>
            <a:t>50%</a:t>
          </a:r>
        </a:p>
      </xdr:txBody>
    </xdr:sp>
    <xdr:clientData/>
  </xdr:twoCellAnchor>
  <xdr:twoCellAnchor>
    <xdr:from>
      <xdr:col>10</xdr:col>
      <xdr:colOff>51764</xdr:colOff>
      <xdr:row>3</xdr:row>
      <xdr:rowOff>43873</xdr:rowOff>
    </xdr:from>
    <xdr:to>
      <xdr:col>11</xdr:col>
      <xdr:colOff>64108</xdr:colOff>
      <xdr:row>5</xdr:row>
      <xdr:rowOff>152792</xdr:rowOff>
    </xdr:to>
    <xdr:sp macro="" textlink="">
      <xdr:nvSpPr>
        <xdr:cNvPr id="113" name="Metin kutusu 112">
          <a:extLst>
            <a:ext uri="{FF2B5EF4-FFF2-40B4-BE49-F238E27FC236}">
              <a16:creationId xmlns:a16="http://schemas.microsoft.com/office/drawing/2014/main" id="{00000000-0008-0000-0700-000071000000}"/>
            </a:ext>
          </a:extLst>
        </xdr:cNvPr>
        <xdr:cNvSpPr txBox="1"/>
      </xdr:nvSpPr>
      <xdr:spPr>
        <a:xfrm rot="21396935">
          <a:off x="6123952" y="615373"/>
          <a:ext cx="619562" cy="489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>
              <a:latin typeface="+mn-lt"/>
            </a:rPr>
            <a:t>40%</a:t>
          </a:r>
        </a:p>
      </xdr:txBody>
    </xdr:sp>
    <xdr:clientData/>
  </xdr:twoCellAnchor>
  <xdr:twoCellAnchor>
    <xdr:from>
      <xdr:col>9</xdr:col>
      <xdr:colOff>259556</xdr:colOff>
      <xdr:row>4</xdr:row>
      <xdr:rowOff>92870</xdr:rowOff>
    </xdr:from>
    <xdr:to>
      <xdr:col>10</xdr:col>
      <xdr:colOff>223836</xdr:colOff>
      <xdr:row>7</xdr:row>
      <xdr:rowOff>21433</xdr:rowOff>
    </xdr:to>
    <xdr:sp macro="" textlink="">
      <xdr:nvSpPr>
        <xdr:cNvPr id="114" name="Metin kutusu 113">
          <a:extLst>
            <a:ext uri="{FF2B5EF4-FFF2-40B4-BE49-F238E27FC236}">
              <a16:creationId xmlns:a16="http://schemas.microsoft.com/office/drawing/2014/main" id="{00000000-0008-0000-0700-000072000000}"/>
            </a:ext>
          </a:extLst>
        </xdr:cNvPr>
        <xdr:cNvSpPr txBox="1"/>
      </xdr:nvSpPr>
      <xdr:spPr>
        <a:xfrm>
          <a:off x="5724525" y="854870"/>
          <a:ext cx="571499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>
              <a:latin typeface="+mn-lt"/>
            </a:rPr>
            <a:t>30%</a:t>
          </a:r>
        </a:p>
      </xdr:txBody>
    </xdr:sp>
    <xdr:clientData/>
  </xdr:twoCellAnchor>
  <xdr:twoCellAnchor>
    <xdr:from>
      <xdr:col>8</xdr:col>
      <xdr:colOff>542925</xdr:colOff>
      <xdr:row>6</xdr:row>
      <xdr:rowOff>138112</xdr:rowOff>
    </xdr:from>
    <xdr:to>
      <xdr:col>9</xdr:col>
      <xdr:colOff>507205</xdr:colOff>
      <xdr:row>9</xdr:row>
      <xdr:rowOff>66675</xdr:rowOff>
    </xdr:to>
    <xdr:sp macro="" textlink="">
      <xdr:nvSpPr>
        <xdr:cNvPr id="115" name="Metin kutusu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SpPr txBox="1"/>
      </xdr:nvSpPr>
      <xdr:spPr>
        <a:xfrm>
          <a:off x="5400675" y="1281112"/>
          <a:ext cx="571499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>
              <a:latin typeface="+mn-lt"/>
            </a:rPr>
            <a:t>20%</a:t>
          </a:r>
        </a:p>
      </xdr:txBody>
    </xdr:sp>
    <xdr:clientData/>
  </xdr:twoCellAnchor>
  <xdr:twoCellAnchor>
    <xdr:from>
      <xdr:col>13</xdr:col>
      <xdr:colOff>464344</xdr:colOff>
      <xdr:row>11</xdr:row>
      <xdr:rowOff>59531</xdr:rowOff>
    </xdr:from>
    <xdr:to>
      <xdr:col>14</xdr:col>
      <xdr:colOff>571499</xdr:colOff>
      <xdr:row>13</xdr:row>
      <xdr:rowOff>178594</xdr:rowOff>
    </xdr:to>
    <xdr:sp macro="" textlink="">
      <xdr:nvSpPr>
        <xdr:cNvPr id="116" name="Metin kutusu 115">
          <a:extLst>
            <a:ext uri="{FF2B5EF4-FFF2-40B4-BE49-F238E27FC236}">
              <a16:creationId xmlns:a16="http://schemas.microsoft.com/office/drawing/2014/main" id="{00000000-0008-0000-0700-000074000000}"/>
            </a:ext>
          </a:extLst>
        </xdr:cNvPr>
        <xdr:cNvSpPr txBox="1"/>
      </xdr:nvSpPr>
      <xdr:spPr>
        <a:xfrm>
          <a:off x="8358188" y="2155031"/>
          <a:ext cx="714374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>
              <a:latin typeface="+mn-lt"/>
            </a:rPr>
            <a:t>100%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371474</xdr:colOff>
          <xdr:row>14</xdr:row>
          <xdr:rowOff>90485</xdr:rowOff>
        </xdr:from>
        <xdr:to>
          <xdr:col>8</xdr:col>
          <xdr:colOff>154783</xdr:colOff>
          <xdr:row>38</xdr:row>
          <xdr:rowOff>4760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71438</xdr:colOff>
      <xdr:row>13</xdr:row>
      <xdr:rowOff>95250</xdr:rowOff>
    </xdr:from>
    <xdr:to>
      <xdr:col>12</xdr:col>
      <xdr:colOff>119063</xdr:colOff>
      <xdr:row>15</xdr:row>
      <xdr:rowOff>35718</xdr:rowOff>
    </xdr:to>
    <xdr:sp macro="" textlink="$F$21">
      <xdr:nvSpPr>
        <xdr:cNvPr id="121" name="Çerçeve 120">
          <a:extLst>
            <a:ext uri="{FF2B5EF4-FFF2-40B4-BE49-F238E27FC236}">
              <a16:creationId xmlns:a16="http://schemas.microsoft.com/office/drawing/2014/main" id="{00000000-0008-0000-0700-000079000000}"/>
            </a:ext>
          </a:extLst>
        </xdr:cNvPr>
        <xdr:cNvSpPr/>
      </xdr:nvSpPr>
      <xdr:spPr>
        <a:xfrm>
          <a:off x="6750844" y="2571750"/>
          <a:ext cx="654844" cy="321468"/>
        </a:xfrm>
        <a:prstGeom prst="fram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62CF9AE-7046-428E-8318-7314553E4038}" type="TxLink">
            <a:rPr lang="en-US" sz="1100" b="0" i="0" u="none" strike="noStrike">
              <a:solidFill>
                <a:srgbClr val="FFC000"/>
              </a:solidFill>
              <a:latin typeface="Bodoni MT Black" panose="02070A03080606020203" pitchFamily="18" charset="0"/>
              <a:cs typeface="Calibri"/>
            </a:rPr>
            <a:pPr algn="ctr"/>
            <a:t>59%</a:t>
          </a:fld>
          <a:endParaRPr lang="tr-TR" sz="1100">
            <a:solidFill>
              <a:srgbClr val="FFC000"/>
            </a:solidFill>
            <a:latin typeface="Bodoni MT Black" panose="02070A03080606020203" pitchFamily="18" charset="0"/>
          </a:endParaRPr>
        </a:p>
      </xdr:txBody>
    </xdr:sp>
    <xdr:clientData/>
  </xdr:twoCellAnchor>
  <xdr:twoCellAnchor>
    <xdr:from>
      <xdr:col>10</xdr:col>
      <xdr:colOff>285750</xdr:colOff>
      <xdr:row>16</xdr:row>
      <xdr:rowOff>11905</xdr:rowOff>
    </xdr:from>
    <xdr:to>
      <xdr:col>12</xdr:col>
      <xdr:colOff>583407</xdr:colOff>
      <xdr:row>20</xdr:row>
      <xdr:rowOff>71436</xdr:rowOff>
    </xdr:to>
    <xdr:sp macro="" textlink="">
      <xdr:nvSpPr>
        <xdr:cNvPr id="122" name="Oval 121">
          <a:extLst>
            <a:ext uri="{FF2B5EF4-FFF2-40B4-BE49-F238E27FC236}">
              <a16:creationId xmlns:a16="http://schemas.microsoft.com/office/drawing/2014/main" id="{00000000-0008-0000-0700-00007A000000}"/>
            </a:ext>
          </a:extLst>
        </xdr:cNvPr>
        <xdr:cNvSpPr/>
      </xdr:nvSpPr>
      <xdr:spPr>
        <a:xfrm>
          <a:off x="6357938" y="3059905"/>
          <a:ext cx="1512094" cy="821531"/>
        </a:xfrm>
        <a:prstGeom prst="ellipse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RAF HEDEF/</a:t>
          </a:r>
          <a:r>
            <a:rPr lang="tr-TR" sz="1100" b="1" baseline="0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 SATIŞ ORANI</a:t>
          </a:r>
          <a:endParaRPr lang="tr-TR" sz="1100" b="1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583406</xdr:colOff>
      <xdr:row>1</xdr:row>
      <xdr:rowOff>23813</xdr:rowOff>
    </xdr:from>
    <xdr:to>
      <xdr:col>23</xdr:col>
      <xdr:colOff>273843</xdr:colOff>
      <xdr:row>20</xdr:row>
      <xdr:rowOff>130970</xdr:rowOff>
    </xdr:to>
    <xdr:sp macro="" textlink="">
      <xdr:nvSpPr>
        <xdr:cNvPr id="101" name="Oval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>
        <a:xfrm>
          <a:off x="10298906" y="214313"/>
          <a:ext cx="3940968" cy="3726657"/>
        </a:xfrm>
        <a:prstGeom prst="ellipse">
          <a:avLst/>
        </a:prstGeom>
        <a:noFill/>
        <a:ln w="190500">
          <a:solidFill>
            <a:schemeClr val="accent2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17</xdr:col>
      <xdr:colOff>59530</xdr:colOff>
      <xdr:row>1</xdr:row>
      <xdr:rowOff>107156</xdr:rowOff>
    </xdr:from>
    <xdr:to>
      <xdr:col>23</xdr:col>
      <xdr:colOff>154781</xdr:colOff>
      <xdr:row>20</xdr:row>
      <xdr:rowOff>35719</xdr:rowOff>
    </xdr:to>
    <xdr:sp macro="" textlink="">
      <xdr:nvSpPr>
        <xdr:cNvPr id="102" name="Oval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/>
      </xdr:nvSpPr>
      <xdr:spPr>
        <a:xfrm>
          <a:off x="10382249" y="297656"/>
          <a:ext cx="3738563" cy="3548063"/>
        </a:xfrm>
        <a:prstGeom prst="ellipse">
          <a:avLst/>
        </a:prstGeom>
        <a:solidFill>
          <a:srgbClr val="FF0000">
            <a:alpha val="12000"/>
          </a:srgbClr>
        </a:solidFill>
        <a:ln w="254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19</xdr:col>
      <xdr:colOff>428625</xdr:colOff>
      <xdr:row>9</xdr:row>
      <xdr:rowOff>119064</xdr:rowOff>
    </xdr:from>
    <xdr:to>
      <xdr:col>20</xdr:col>
      <xdr:colOff>309562</xdr:colOff>
      <xdr:row>12</xdr:row>
      <xdr:rowOff>35720</xdr:rowOff>
    </xdr:to>
    <xdr:grpSp>
      <xdr:nvGrpSpPr>
        <xdr:cNvPr id="103" name="Grup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GrpSpPr/>
      </xdr:nvGrpSpPr>
      <xdr:grpSpPr>
        <a:xfrm>
          <a:off x="11965781" y="1833564"/>
          <a:ext cx="488156" cy="488156"/>
          <a:chOff x="6786561" y="2012157"/>
          <a:chExt cx="488156" cy="488156"/>
        </a:xfrm>
      </xdr:grpSpPr>
      <xdr:sp macro="" textlink="">
        <xdr:nvSpPr>
          <xdr:cNvPr id="104" name="Oval 103">
            <a:extLst>
              <a:ext uri="{FF2B5EF4-FFF2-40B4-BE49-F238E27FC236}">
                <a16:creationId xmlns:a16="http://schemas.microsoft.com/office/drawing/2014/main" id="{00000000-0008-0000-0700-000068000000}"/>
              </a:ext>
            </a:extLst>
          </xdr:cNvPr>
          <xdr:cNvSpPr/>
        </xdr:nvSpPr>
        <xdr:spPr>
          <a:xfrm>
            <a:off x="6858000" y="2012157"/>
            <a:ext cx="360000" cy="360000"/>
          </a:xfrm>
          <a:prstGeom prst="ellipse">
            <a:avLst/>
          </a:prstGeom>
          <a:gradFill>
            <a:gsLst>
              <a:gs pos="0">
                <a:schemeClr val="accent1">
                  <a:lumMod val="50000"/>
                </a:schemeClr>
              </a:gs>
              <a:gs pos="100000">
                <a:schemeClr val="bg1"/>
              </a:gs>
            </a:gsLst>
            <a:lin ang="16200000" scaled="0"/>
          </a:gra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05" name="Oval 104">
            <a:extLst>
              <a:ext uri="{FF2B5EF4-FFF2-40B4-BE49-F238E27FC236}">
                <a16:creationId xmlns:a16="http://schemas.microsoft.com/office/drawing/2014/main" id="{00000000-0008-0000-0700-000069000000}"/>
              </a:ext>
            </a:extLst>
          </xdr:cNvPr>
          <xdr:cNvSpPr/>
        </xdr:nvSpPr>
        <xdr:spPr>
          <a:xfrm>
            <a:off x="6917530" y="2047875"/>
            <a:ext cx="250032" cy="226219"/>
          </a:xfrm>
          <a:prstGeom prst="ellipse">
            <a:avLst/>
          </a:prstGeom>
          <a:gradFill>
            <a:gsLst>
              <a:gs pos="0">
                <a:schemeClr val="bg1">
                  <a:alpha val="0"/>
                  <a:lumMod val="100000"/>
                </a:schemeClr>
              </a:gs>
              <a:gs pos="100000">
                <a:schemeClr val="bg1">
                  <a:lumMod val="0"/>
                </a:schemeClr>
              </a:gs>
            </a:gsLst>
            <a:lin ang="16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17" name="Oval 116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/>
        </xdr:nvSpPr>
        <xdr:spPr>
          <a:xfrm>
            <a:off x="6786561" y="2405063"/>
            <a:ext cx="488156" cy="95250"/>
          </a:xfrm>
          <a:prstGeom prst="ellipse">
            <a:avLst/>
          </a:prstGeom>
          <a:gradFill flip="none" rotWithShape="1">
            <a:gsLst>
              <a:gs pos="0">
                <a:schemeClr val="tx1">
                  <a:alpha val="30000"/>
                </a:schemeClr>
              </a:gs>
              <a:gs pos="100000">
                <a:schemeClr val="bg1"/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25</xdr:col>
      <xdr:colOff>535780</xdr:colOff>
      <xdr:row>0</xdr:row>
      <xdr:rowOff>178595</xdr:rowOff>
    </xdr:from>
    <xdr:to>
      <xdr:col>32</xdr:col>
      <xdr:colOff>226217</xdr:colOff>
      <xdr:row>20</xdr:row>
      <xdr:rowOff>95252</xdr:rowOff>
    </xdr:to>
    <xdr:sp macro="" textlink="">
      <xdr:nvSpPr>
        <xdr:cNvPr id="118" name="Oval 117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SpPr/>
      </xdr:nvSpPr>
      <xdr:spPr>
        <a:xfrm>
          <a:off x="15716249" y="178595"/>
          <a:ext cx="3940968" cy="3726657"/>
        </a:xfrm>
        <a:prstGeom prst="ellipse">
          <a:avLst/>
        </a:prstGeom>
        <a:noFill/>
        <a:ln w="190500">
          <a:solidFill>
            <a:schemeClr val="accent6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28</xdr:col>
      <xdr:colOff>369093</xdr:colOff>
      <xdr:row>9</xdr:row>
      <xdr:rowOff>35721</xdr:rowOff>
    </xdr:from>
    <xdr:to>
      <xdr:col>29</xdr:col>
      <xdr:colOff>250030</xdr:colOff>
      <xdr:row>11</xdr:row>
      <xdr:rowOff>142877</xdr:rowOff>
    </xdr:to>
    <xdr:grpSp>
      <xdr:nvGrpSpPr>
        <xdr:cNvPr id="120" name="Grup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GrpSpPr/>
      </xdr:nvGrpSpPr>
      <xdr:grpSpPr>
        <a:xfrm>
          <a:off x="17371218" y="1750221"/>
          <a:ext cx="488156" cy="488156"/>
          <a:chOff x="6786561" y="2012157"/>
          <a:chExt cx="488156" cy="488156"/>
        </a:xfrm>
      </xdr:grpSpPr>
      <xdr:sp macro="" textlink="">
        <xdr:nvSpPr>
          <xdr:cNvPr id="123" name="Oval 122">
            <a:extLst>
              <a:ext uri="{FF2B5EF4-FFF2-40B4-BE49-F238E27FC236}">
                <a16:creationId xmlns:a16="http://schemas.microsoft.com/office/drawing/2014/main" id="{00000000-0008-0000-0700-00007B000000}"/>
              </a:ext>
            </a:extLst>
          </xdr:cNvPr>
          <xdr:cNvSpPr/>
        </xdr:nvSpPr>
        <xdr:spPr>
          <a:xfrm>
            <a:off x="6858000" y="2012157"/>
            <a:ext cx="360000" cy="360000"/>
          </a:xfrm>
          <a:prstGeom prst="ellipse">
            <a:avLst/>
          </a:prstGeom>
          <a:gradFill>
            <a:gsLst>
              <a:gs pos="0">
                <a:schemeClr val="accent1">
                  <a:lumMod val="50000"/>
                </a:schemeClr>
              </a:gs>
              <a:gs pos="100000">
                <a:schemeClr val="bg1"/>
              </a:gs>
            </a:gsLst>
            <a:lin ang="16200000" scaled="0"/>
          </a:gra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24" name="Oval 123">
            <a:extLst>
              <a:ext uri="{FF2B5EF4-FFF2-40B4-BE49-F238E27FC236}">
                <a16:creationId xmlns:a16="http://schemas.microsoft.com/office/drawing/2014/main" id="{00000000-0008-0000-0700-00007C000000}"/>
              </a:ext>
            </a:extLst>
          </xdr:cNvPr>
          <xdr:cNvSpPr/>
        </xdr:nvSpPr>
        <xdr:spPr>
          <a:xfrm>
            <a:off x="6917530" y="2047875"/>
            <a:ext cx="250032" cy="226219"/>
          </a:xfrm>
          <a:prstGeom prst="ellipse">
            <a:avLst/>
          </a:prstGeom>
          <a:gradFill>
            <a:gsLst>
              <a:gs pos="0">
                <a:schemeClr val="bg1">
                  <a:alpha val="0"/>
                  <a:lumMod val="100000"/>
                </a:schemeClr>
              </a:gs>
              <a:gs pos="100000">
                <a:schemeClr val="bg1">
                  <a:lumMod val="0"/>
                </a:schemeClr>
              </a:gs>
            </a:gsLst>
            <a:lin ang="16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25" name="Oval 124">
            <a:extLst>
              <a:ext uri="{FF2B5EF4-FFF2-40B4-BE49-F238E27FC236}">
                <a16:creationId xmlns:a16="http://schemas.microsoft.com/office/drawing/2014/main" id="{00000000-0008-0000-0700-00007D000000}"/>
              </a:ext>
            </a:extLst>
          </xdr:cNvPr>
          <xdr:cNvSpPr/>
        </xdr:nvSpPr>
        <xdr:spPr>
          <a:xfrm>
            <a:off x="6786561" y="2405063"/>
            <a:ext cx="488156" cy="95250"/>
          </a:xfrm>
          <a:prstGeom prst="ellipse">
            <a:avLst/>
          </a:prstGeom>
          <a:gradFill flip="none" rotWithShape="1">
            <a:gsLst>
              <a:gs pos="0">
                <a:schemeClr val="tx1">
                  <a:alpha val="30000"/>
                </a:schemeClr>
              </a:gs>
              <a:gs pos="100000">
                <a:schemeClr val="bg1"/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19</xdr:col>
      <xdr:colOff>357186</xdr:colOff>
      <xdr:row>12</xdr:row>
      <xdr:rowOff>178593</xdr:rowOff>
    </xdr:from>
    <xdr:to>
      <xdr:col>20</xdr:col>
      <xdr:colOff>404811</xdr:colOff>
      <xdr:row>14</xdr:row>
      <xdr:rowOff>119061</xdr:rowOff>
    </xdr:to>
    <xdr:sp macro="" textlink="$F$22">
      <xdr:nvSpPr>
        <xdr:cNvPr id="126" name="Çerçeve 125">
          <a:extLst>
            <a:ext uri="{FF2B5EF4-FFF2-40B4-BE49-F238E27FC236}">
              <a16:creationId xmlns:a16="http://schemas.microsoft.com/office/drawing/2014/main" id="{00000000-0008-0000-0700-00007E000000}"/>
            </a:ext>
          </a:extLst>
        </xdr:cNvPr>
        <xdr:cNvSpPr/>
      </xdr:nvSpPr>
      <xdr:spPr>
        <a:xfrm>
          <a:off x="11894342" y="2464593"/>
          <a:ext cx="654844" cy="321468"/>
        </a:xfrm>
        <a:prstGeom prst="fram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F1BEF1-AA3F-4A2D-AE2E-00642AF212D8}" type="TxLink">
            <a:rPr lang="en-US" sz="1100" b="0" i="0" u="none" strike="noStrike">
              <a:solidFill>
                <a:schemeClr val="accent2"/>
              </a:solidFill>
              <a:latin typeface="Bodoni MT Black" panose="02070A03080606020203" pitchFamily="18" charset="0"/>
              <a:cs typeface="Calibri"/>
            </a:rPr>
            <a:pPr algn="ctr"/>
            <a:t>63%</a:t>
          </a:fld>
          <a:endParaRPr lang="en-US" sz="1100" b="0" i="0" u="none" strike="noStrike">
            <a:solidFill>
              <a:schemeClr val="accent2"/>
            </a:solidFill>
            <a:latin typeface="Bodoni MT Black" panose="02070A03080606020203" pitchFamily="18" charset="0"/>
            <a:cs typeface="Calibri"/>
          </a:endParaRPr>
        </a:p>
      </xdr:txBody>
    </xdr:sp>
    <xdr:clientData/>
  </xdr:twoCellAnchor>
  <xdr:twoCellAnchor>
    <xdr:from>
      <xdr:col>28</xdr:col>
      <xdr:colOff>273844</xdr:colOff>
      <xdr:row>12</xdr:row>
      <xdr:rowOff>130969</xdr:rowOff>
    </xdr:from>
    <xdr:to>
      <xdr:col>29</xdr:col>
      <xdr:colOff>428625</xdr:colOff>
      <xdr:row>14</xdr:row>
      <xdr:rowOff>71437</xdr:rowOff>
    </xdr:to>
    <xdr:sp macro="" textlink="$F$23">
      <xdr:nvSpPr>
        <xdr:cNvPr id="127" name="Çerçeve 126">
          <a:extLst>
            <a:ext uri="{FF2B5EF4-FFF2-40B4-BE49-F238E27FC236}">
              <a16:creationId xmlns:a16="http://schemas.microsoft.com/office/drawing/2014/main" id="{00000000-0008-0000-0700-00007F000000}"/>
            </a:ext>
          </a:extLst>
        </xdr:cNvPr>
        <xdr:cNvSpPr/>
      </xdr:nvSpPr>
      <xdr:spPr>
        <a:xfrm>
          <a:off x="17275969" y="2416969"/>
          <a:ext cx="762000" cy="321468"/>
        </a:xfrm>
        <a:prstGeom prst="fram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85D363E-8D54-4281-A3E6-960FA7A7F35C}" type="TxLink">
            <a:rPr lang="en-US" sz="1100" b="0" i="0" u="none" strike="noStrike">
              <a:solidFill>
                <a:srgbClr val="92D050"/>
              </a:solidFill>
              <a:latin typeface="Bodoni MT Black" panose="02070A03080606020203" pitchFamily="18" charset="0"/>
              <a:cs typeface="Calibri"/>
            </a:rPr>
            <a:pPr algn="ctr"/>
            <a:t>53%</a:t>
          </a:fld>
          <a:endParaRPr lang="en-US" sz="1100" b="0" i="0" u="none" strike="noStrike">
            <a:solidFill>
              <a:srgbClr val="92D050"/>
            </a:solidFill>
            <a:latin typeface="Bodoni MT Black" panose="02070A03080606020203" pitchFamily="18" charset="0"/>
            <a:cs typeface="Calibri"/>
          </a:endParaRPr>
        </a:p>
      </xdr:txBody>
    </xdr:sp>
    <xdr:clientData/>
  </xdr:twoCellAnchor>
  <xdr:twoCellAnchor>
    <xdr:from>
      <xdr:col>18</xdr:col>
      <xdr:colOff>71437</xdr:colOff>
      <xdr:row>7</xdr:row>
      <xdr:rowOff>128586</xdr:rowOff>
    </xdr:from>
    <xdr:to>
      <xdr:col>18</xdr:col>
      <xdr:colOff>269082</xdr:colOff>
      <xdr:row>9</xdr:row>
      <xdr:rowOff>2381</xdr:rowOff>
    </xdr:to>
    <xdr:grpSp>
      <xdr:nvGrpSpPr>
        <xdr:cNvPr id="129" name="Grup 128">
          <a:extLst>
            <a:ext uri="{FF2B5EF4-FFF2-40B4-BE49-F238E27FC236}">
              <a16:creationId xmlns:a16="http://schemas.microsoft.com/office/drawing/2014/main" id="{00000000-0008-0000-0700-000081000000}"/>
            </a:ext>
          </a:extLst>
        </xdr:cNvPr>
        <xdr:cNvGrpSpPr/>
      </xdr:nvGrpSpPr>
      <xdr:grpSpPr>
        <a:xfrm rot="872088">
          <a:off x="11001375" y="1462086"/>
          <a:ext cx="197645" cy="254795"/>
          <a:chOff x="5762624" y="2102643"/>
          <a:chExt cx="197645" cy="254795"/>
        </a:xfrm>
      </xdr:grpSpPr>
      <xdr:cxnSp macro="">
        <xdr:nvCxnSpPr>
          <xdr:cNvPr id="130" name="Düz Bağlayıcı 129">
            <a:extLst>
              <a:ext uri="{FF2B5EF4-FFF2-40B4-BE49-F238E27FC236}">
                <a16:creationId xmlns:a16="http://schemas.microsoft.com/office/drawing/2014/main" id="{00000000-0008-0000-0700-000082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31" name="Düz Bağlayıcı 130">
            <a:extLst>
              <a:ext uri="{FF2B5EF4-FFF2-40B4-BE49-F238E27FC236}">
                <a16:creationId xmlns:a16="http://schemas.microsoft.com/office/drawing/2014/main" id="{00000000-0008-0000-0700-000083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32" name="Düz Bağlayıcı 131">
            <a:extLst>
              <a:ext uri="{FF2B5EF4-FFF2-40B4-BE49-F238E27FC236}">
                <a16:creationId xmlns:a16="http://schemas.microsoft.com/office/drawing/2014/main" id="{00000000-0008-0000-0700-000084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33" name="Düz Bağlayıcı 132">
            <a:extLst>
              <a:ext uri="{FF2B5EF4-FFF2-40B4-BE49-F238E27FC236}">
                <a16:creationId xmlns:a16="http://schemas.microsoft.com/office/drawing/2014/main" id="{00000000-0008-0000-0700-000085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595310</xdr:colOff>
      <xdr:row>9</xdr:row>
      <xdr:rowOff>133352</xdr:rowOff>
    </xdr:from>
    <xdr:to>
      <xdr:col>18</xdr:col>
      <xdr:colOff>185736</xdr:colOff>
      <xdr:row>11</xdr:row>
      <xdr:rowOff>7147</xdr:rowOff>
    </xdr:to>
    <xdr:grpSp>
      <xdr:nvGrpSpPr>
        <xdr:cNvPr id="139" name="Grup 138">
          <a:extLst>
            <a:ext uri="{FF2B5EF4-FFF2-40B4-BE49-F238E27FC236}">
              <a16:creationId xmlns:a16="http://schemas.microsoft.com/office/drawing/2014/main" id="{00000000-0008-0000-0700-00008B000000}"/>
            </a:ext>
          </a:extLst>
        </xdr:cNvPr>
        <xdr:cNvGrpSpPr/>
      </xdr:nvGrpSpPr>
      <xdr:grpSpPr>
        <a:xfrm>
          <a:off x="10918029" y="1847852"/>
          <a:ext cx="197645" cy="254795"/>
          <a:chOff x="5762624" y="2102643"/>
          <a:chExt cx="197645" cy="254795"/>
        </a:xfrm>
      </xdr:grpSpPr>
      <xdr:cxnSp macro="">
        <xdr:nvCxnSpPr>
          <xdr:cNvPr id="140" name="Düz Bağlayıcı 139">
            <a:extLst>
              <a:ext uri="{FF2B5EF4-FFF2-40B4-BE49-F238E27FC236}">
                <a16:creationId xmlns:a16="http://schemas.microsoft.com/office/drawing/2014/main" id="{00000000-0008-0000-0700-00008C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41" name="Düz Bağlayıcı 140">
            <a:extLst>
              <a:ext uri="{FF2B5EF4-FFF2-40B4-BE49-F238E27FC236}">
                <a16:creationId xmlns:a16="http://schemas.microsoft.com/office/drawing/2014/main" id="{00000000-0008-0000-0700-00008D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42" name="Düz Bağlayıcı 141">
            <a:extLst>
              <a:ext uri="{FF2B5EF4-FFF2-40B4-BE49-F238E27FC236}">
                <a16:creationId xmlns:a16="http://schemas.microsoft.com/office/drawing/2014/main" id="{00000000-0008-0000-0700-00008E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43" name="Düz Bağlayıcı 142">
            <a:extLst>
              <a:ext uri="{FF2B5EF4-FFF2-40B4-BE49-F238E27FC236}">
                <a16:creationId xmlns:a16="http://schemas.microsoft.com/office/drawing/2014/main" id="{00000000-0008-0000-0700-00008F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18</xdr:col>
      <xdr:colOff>600075</xdr:colOff>
      <xdr:row>4</xdr:row>
      <xdr:rowOff>147637</xdr:rowOff>
    </xdr:from>
    <xdr:to>
      <xdr:col>19</xdr:col>
      <xdr:colOff>247652</xdr:colOff>
      <xdr:row>5</xdr:row>
      <xdr:rowOff>154782</xdr:rowOff>
    </xdr:to>
    <xdr:grpSp>
      <xdr:nvGrpSpPr>
        <xdr:cNvPr id="144" name="Grup 143">
          <a:extLst>
            <a:ext uri="{FF2B5EF4-FFF2-40B4-BE49-F238E27FC236}">
              <a16:creationId xmlns:a16="http://schemas.microsoft.com/office/drawing/2014/main" id="{00000000-0008-0000-0700-000090000000}"/>
            </a:ext>
          </a:extLst>
        </xdr:cNvPr>
        <xdr:cNvGrpSpPr/>
      </xdr:nvGrpSpPr>
      <xdr:grpSpPr>
        <a:xfrm rot="3297292">
          <a:off x="11558588" y="881062"/>
          <a:ext cx="197645" cy="254795"/>
          <a:chOff x="5762624" y="2102643"/>
          <a:chExt cx="197645" cy="254795"/>
        </a:xfrm>
      </xdr:grpSpPr>
      <xdr:cxnSp macro="">
        <xdr:nvCxnSpPr>
          <xdr:cNvPr id="145" name="Düz Bağlayıcı 144">
            <a:extLst>
              <a:ext uri="{FF2B5EF4-FFF2-40B4-BE49-F238E27FC236}">
                <a16:creationId xmlns:a16="http://schemas.microsoft.com/office/drawing/2014/main" id="{00000000-0008-0000-0700-000091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46" name="Düz Bağlayıcı 145">
            <a:extLst>
              <a:ext uri="{FF2B5EF4-FFF2-40B4-BE49-F238E27FC236}">
                <a16:creationId xmlns:a16="http://schemas.microsoft.com/office/drawing/2014/main" id="{00000000-0008-0000-0700-000092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47" name="Düz Bağlayıcı 146">
            <a:extLst>
              <a:ext uri="{FF2B5EF4-FFF2-40B4-BE49-F238E27FC236}">
                <a16:creationId xmlns:a16="http://schemas.microsoft.com/office/drawing/2014/main" id="{00000000-0008-0000-0700-000093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48" name="Düz Bağlayıcı 147">
            <a:extLst>
              <a:ext uri="{FF2B5EF4-FFF2-40B4-BE49-F238E27FC236}">
                <a16:creationId xmlns:a16="http://schemas.microsoft.com/office/drawing/2014/main" id="{00000000-0008-0000-0700-000094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383382</xdr:colOff>
      <xdr:row>4</xdr:row>
      <xdr:rowOff>14288</xdr:rowOff>
    </xdr:from>
    <xdr:to>
      <xdr:col>20</xdr:col>
      <xdr:colOff>30958</xdr:colOff>
      <xdr:row>5</xdr:row>
      <xdr:rowOff>21433</xdr:rowOff>
    </xdr:to>
    <xdr:grpSp>
      <xdr:nvGrpSpPr>
        <xdr:cNvPr id="149" name="Grup 148">
          <a:extLst>
            <a:ext uri="{FF2B5EF4-FFF2-40B4-BE49-F238E27FC236}">
              <a16:creationId xmlns:a16="http://schemas.microsoft.com/office/drawing/2014/main" id="{00000000-0008-0000-0700-000095000000}"/>
            </a:ext>
          </a:extLst>
        </xdr:cNvPr>
        <xdr:cNvGrpSpPr/>
      </xdr:nvGrpSpPr>
      <xdr:grpSpPr>
        <a:xfrm rot="4242487">
          <a:off x="11949113" y="747713"/>
          <a:ext cx="197645" cy="254795"/>
          <a:chOff x="5762624" y="2102643"/>
          <a:chExt cx="197645" cy="254795"/>
        </a:xfrm>
      </xdr:grpSpPr>
      <xdr:cxnSp macro="">
        <xdr:nvCxnSpPr>
          <xdr:cNvPr id="150" name="Düz Bağlayıcı 149">
            <a:extLst>
              <a:ext uri="{FF2B5EF4-FFF2-40B4-BE49-F238E27FC236}">
                <a16:creationId xmlns:a16="http://schemas.microsoft.com/office/drawing/2014/main" id="{00000000-0008-0000-0700-000096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51" name="Düz Bağlayıcı 150">
            <a:extLst>
              <a:ext uri="{FF2B5EF4-FFF2-40B4-BE49-F238E27FC236}">
                <a16:creationId xmlns:a16="http://schemas.microsoft.com/office/drawing/2014/main" id="{00000000-0008-0000-0700-000097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52" name="Düz Bağlayıcı 151">
            <a:extLst>
              <a:ext uri="{FF2B5EF4-FFF2-40B4-BE49-F238E27FC236}">
                <a16:creationId xmlns:a16="http://schemas.microsoft.com/office/drawing/2014/main" id="{00000000-0008-0000-0700-000098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53" name="Düz Bağlayıcı 152">
            <a:extLst>
              <a:ext uri="{FF2B5EF4-FFF2-40B4-BE49-F238E27FC236}">
                <a16:creationId xmlns:a16="http://schemas.microsoft.com/office/drawing/2014/main" id="{00000000-0008-0000-0700-000099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178594</xdr:colOff>
      <xdr:row>4</xdr:row>
      <xdr:rowOff>11905</xdr:rowOff>
    </xdr:from>
    <xdr:to>
      <xdr:col>20</xdr:col>
      <xdr:colOff>433389</xdr:colOff>
      <xdr:row>5</xdr:row>
      <xdr:rowOff>19050</xdr:rowOff>
    </xdr:to>
    <xdr:grpSp>
      <xdr:nvGrpSpPr>
        <xdr:cNvPr id="154" name="Grup 153">
          <a:extLst>
            <a:ext uri="{FF2B5EF4-FFF2-40B4-BE49-F238E27FC236}">
              <a16:creationId xmlns:a16="http://schemas.microsoft.com/office/drawing/2014/main" id="{00000000-0008-0000-0700-00009A000000}"/>
            </a:ext>
          </a:extLst>
        </xdr:cNvPr>
        <xdr:cNvGrpSpPr/>
      </xdr:nvGrpSpPr>
      <xdr:grpSpPr>
        <a:xfrm rot="5565348">
          <a:off x="12351544" y="745330"/>
          <a:ext cx="197645" cy="254795"/>
          <a:chOff x="5762624" y="2102643"/>
          <a:chExt cx="197645" cy="254795"/>
        </a:xfrm>
      </xdr:grpSpPr>
      <xdr:cxnSp macro="">
        <xdr:nvCxnSpPr>
          <xdr:cNvPr id="155" name="Düz Bağlayıcı 154">
            <a:extLst>
              <a:ext uri="{FF2B5EF4-FFF2-40B4-BE49-F238E27FC236}">
                <a16:creationId xmlns:a16="http://schemas.microsoft.com/office/drawing/2014/main" id="{00000000-0008-0000-0700-00009B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56" name="Düz Bağlayıcı 155">
            <a:extLst>
              <a:ext uri="{FF2B5EF4-FFF2-40B4-BE49-F238E27FC236}">
                <a16:creationId xmlns:a16="http://schemas.microsoft.com/office/drawing/2014/main" id="{00000000-0008-0000-0700-00009C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57" name="Düz Bağlayıcı 156">
            <a:extLst>
              <a:ext uri="{FF2B5EF4-FFF2-40B4-BE49-F238E27FC236}">
                <a16:creationId xmlns:a16="http://schemas.microsoft.com/office/drawing/2014/main" id="{00000000-0008-0000-0700-00009D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58" name="Düz Bağlayıcı 157">
            <a:extLst>
              <a:ext uri="{FF2B5EF4-FFF2-40B4-BE49-F238E27FC236}">
                <a16:creationId xmlns:a16="http://schemas.microsoft.com/office/drawing/2014/main" id="{00000000-0008-0000-0700-00009E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20</xdr:col>
      <xdr:colOff>592931</xdr:colOff>
      <xdr:row>4</xdr:row>
      <xdr:rowOff>188119</xdr:rowOff>
    </xdr:from>
    <xdr:to>
      <xdr:col>21</xdr:col>
      <xdr:colOff>240507</xdr:colOff>
      <xdr:row>6</xdr:row>
      <xdr:rowOff>4764</xdr:rowOff>
    </xdr:to>
    <xdr:grpSp>
      <xdr:nvGrpSpPr>
        <xdr:cNvPr id="159" name="Grup 158">
          <a:extLst>
            <a:ext uri="{FF2B5EF4-FFF2-40B4-BE49-F238E27FC236}">
              <a16:creationId xmlns:a16="http://schemas.microsoft.com/office/drawing/2014/main" id="{00000000-0008-0000-0700-00009F000000}"/>
            </a:ext>
          </a:extLst>
        </xdr:cNvPr>
        <xdr:cNvGrpSpPr/>
      </xdr:nvGrpSpPr>
      <xdr:grpSpPr>
        <a:xfrm rot="7102558">
          <a:off x="12765881" y="921544"/>
          <a:ext cx="197645" cy="254795"/>
          <a:chOff x="5762624" y="2102643"/>
          <a:chExt cx="197645" cy="254795"/>
        </a:xfrm>
      </xdr:grpSpPr>
      <xdr:cxnSp macro="">
        <xdr:nvCxnSpPr>
          <xdr:cNvPr id="160" name="Düz Bağlayıcı 159">
            <a:extLst>
              <a:ext uri="{FF2B5EF4-FFF2-40B4-BE49-F238E27FC236}">
                <a16:creationId xmlns:a16="http://schemas.microsoft.com/office/drawing/2014/main" id="{00000000-0008-0000-0700-0000A0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61" name="Düz Bağlayıcı 160">
            <a:extLst>
              <a:ext uri="{FF2B5EF4-FFF2-40B4-BE49-F238E27FC236}">
                <a16:creationId xmlns:a16="http://schemas.microsoft.com/office/drawing/2014/main" id="{00000000-0008-0000-0700-0000A1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Düz Bağlayıcı 161">
            <a:extLst>
              <a:ext uri="{FF2B5EF4-FFF2-40B4-BE49-F238E27FC236}">
                <a16:creationId xmlns:a16="http://schemas.microsoft.com/office/drawing/2014/main" id="{00000000-0008-0000-0700-0000A2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Düz Bağlayıcı 162">
            <a:extLst>
              <a:ext uri="{FF2B5EF4-FFF2-40B4-BE49-F238E27FC236}">
                <a16:creationId xmlns:a16="http://schemas.microsoft.com/office/drawing/2014/main" id="{00000000-0008-0000-0700-0000A3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297657</xdr:colOff>
      <xdr:row>6</xdr:row>
      <xdr:rowOff>50004</xdr:rowOff>
    </xdr:from>
    <xdr:to>
      <xdr:col>21</xdr:col>
      <xdr:colOff>495302</xdr:colOff>
      <xdr:row>7</xdr:row>
      <xdr:rowOff>114299</xdr:rowOff>
    </xdr:to>
    <xdr:grpSp>
      <xdr:nvGrpSpPr>
        <xdr:cNvPr id="164" name="Grup 163">
          <a:extLst>
            <a:ext uri="{FF2B5EF4-FFF2-40B4-BE49-F238E27FC236}">
              <a16:creationId xmlns:a16="http://schemas.microsoft.com/office/drawing/2014/main" id="{00000000-0008-0000-0700-0000A4000000}"/>
            </a:ext>
          </a:extLst>
        </xdr:cNvPr>
        <xdr:cNvGrpSpPr/>
      </xdr:nvGrpSpPr>
      <xdr:grpSpPr>
        <a:xfrm rot="8309459">
          <a:off x="13049251" y="1193004"/>
          <a:ext cx="197645" cy="254795"/>
          <a:chOff x="5762624" y="2102643"/>
          <a:chExt cx="197645" cy="254795"/>
        </a:xfrm>
      </xdr:grpSpPr>
      <xdr:cxnSp macro="">
        <xdr:nvCxnSpPr>
          <xdr:cNvPr id="165" name="Düz Bağlayıcı 164">
            <a:extLst>
              <a:ext uri="{FF2B5EF4-FFF2-40B4-BE49-F238E27FC236}">
                <a16:creationId xmlns:a16="http://schemas.microsoft.com/office/drawing/2014/main" id="{00000000-0008-0000-0700-0000A5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66" name="Düz Bağlayıcı 165">
            <a:extLst>
              <a:ext uri="{FF2B5EF4-FFF2-40B4-BE49-F238E27FC236}">
                <a16:creationId xmlns:a16="http://schemas.microsoft.com/office/drawing/2014/main" id="{00000000-0008-0000-0700-0000A6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67" name="Düz Bağlayıcı 166">
            <a:extLst>
              <a:ext uri="{FF2B5EF4-FFF2-40B4-BE49-F238E27FC236}">
                <a16:creationId xmlns:a16="http://schemas.microsoft.com/office/drawing/2014/main" id="{00000000-0008-0000-0700-0000A7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68" name="Düz Bağlayıcı 167">
            <a:extLst>
              <a:ext uri="{FF2B5EF4-FFF2-40B4-BE49-F238E27FC236}">
                <a16:creationId xmlns:a16="http://schemas.microsoft.com/office/drawing/2014/main" id="{00000000-0008-0000-0700-0000A8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497682</xdr:colOff>
      <xdr:row>8</xdr:row>
      <xdr:rowOff>11906</xdr:rowOff>
    </xdr:from>
    <xdr:to>
      <xdr:col>22</xdr:col>
      <xdr:colOff>88108</xdr:colOff>
      <xdr:row>9</xdr:row>
      <xdr:rowOff>76201</xdr:rowOff>
    </xdr:to>
    <xdr:grpSp>
      <xdr:nvGrpSpPr>
        <xdr:cNvPr id="169" name="Grup 168">
          <a:extLst>
            <a:ext uri="{FF2B5EF4-FFF2-40B4-BE49-F238E27FC236}">
              <a16:creationId xmlns:a16="http://schemas.microsoft.com/office/drawing/2014/main" id="{00000000-0008-0000-0700-0000A9000000}"/>
            </a:ext>
          </a:extLst>
        </xdr:cNvPr>
        <xdr:cNvGrpSpPr/>
      </xdr:nvGrpSpPr>
      <xdr:grpSpPr>
        <a:xfrm rot="9280520">
          <a:off x="13249276" y="1535906"/>
          <a:ext cx="197645" cy="254795"/>
          <a:chOff x="5762624" y="2102643"/>
          <a:chExt cx="197645" cy="254795"/>
        </a:xfrm>
      </xdr:grpSpPr>
      <xdr:cxnSp macro="">
        <xdr:nvCxnSpPr>
          <xdr:cNvPr id="170" name="Düz Bağlayıcı 169">
            <a:extLst>
              <a:ext uri="{FF2B5EF4-FFF2-40B4-BE49-F238E27FC236}">
                <a16:creationId xmlns:a16="http://schemas.microsoft.com/office/drawing/2014/main" id="{00000000-0008-0000-0700-0000AA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1" name="Düz Bağlayıcı 170">
            <a:extLst>
              <a:ext uri="{FF2B5EF4-FFF2-40B4-BE49-F238E27FC236}">
                <a16:creationId xmlns:a16="http://schemas.microsoft.com/office/drawing/2014/main" id="{00000000-0008-0000-0700-0000AB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2" name="Düz Bağlayıcı 171">
            <a:extLst>
              <a:ext uri="{FF2B5EF4-FFF2-40B4-BE49-F238E27FC236}">
                <a16:creationId xmlns:a16="http://schemas.microsoft.com/office/drawing/2014/main" id="{00000000-0008-0000-0700-0000AC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3" name="Düz Bağlayıcı 172">
            <a:extLst>
              <a:ext uri="{FF2B5EF4-FFF2-40B4-BE49-F238E27FC236}">
                <a16:creationId xmlns:a16="http://schemas.microsoft.com/office/drawing/2014/main" id="{00000000-0008-0000-0700-0000AD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578645</xdr:colOff>
      <xdr:row>9</xdr:row>
      <xdr:rowOff>152401</xdr:rowOff>
    </xdr:from>
    <xdr:to>
      <xdr:col>22</xdr:col>
      <xdr:colOff>169071</xdr:colOff>
      <xdr:row>11</xdr:row>
      <xdr:rowOff>26196</xdr:rowOff>
    </xdr:to>
    <xdr:grpSp>
      <xdr:nvGrpSpPr>
        <xdr:cNvPr id="174" name="Grup 173">
          <a:extLst>
            <a:ext uri="{FF2B5EF4-FFF2-40B4-BE49-F238E27FC236}">
              <a16:creationId xmlns:a16="http://schemas.microsoft.com/office/drawing/2014/main" id="{00000000-0008-0000-0700-0000AE000000}"/>
            </a:ext>
          </a:extLst>
        </xdr:cNvPr>
        <xdr:cNvGrpSpPr/>
      </xdr:nvGrpSpPr>
      <xdr:grpSpPr>
        <a:xfrm rot="9978032">
          <a:off x="13330239" y="1866901"/>
          <a:ext cx="197645" cy="254795"/>
          <a:chOff x="5762624" y="2102643"/>
          <a:chExt cx="197645" cy="254795"/>
        </a:xfrm>
      </xdr:grpSpPr>
      <xdr:cxnSp macro="">
        <xdr:nvCxnSpPr>
          <xdr:cNvPr id="175" name="Düz Bağlayıcı 174">
            <a:extLst>
              <a:ext uri="{FF2B5EF4-FFF2-40B4-BE49-F238E27FC236}">
                <a16:creationId xmlns:a16="http://schemas.microsoft.com/office/drawing/2014/main" id="{00000000-0008-0000-0700-0000AF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6" name="Düz Bağlayıcı 175">
            <a:extLst>
              <a:ext uri="{FF2B5EF4-FFF2-40B4-BE49-F238E27FC236}">
                <a16:creationId xmlns:a16="http://schemas.microsoft.com/office/drawing/2014/main" id="{00000000-0008-0000-0700-0000B0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7" name="Düz Bağlayıcı 176">
            <a:extLst>
              <a:ext uri="{FF2B5EF4-FFF2-40B4-BE49-F238E27FC236}">
                <a16:creationId xmlns:a16="http://schemas.microsoft.com/office/drawing/2014/main" id="{00000000-0008-0000-0700-0000B1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8" name="Düz Bağlayıcı 177">
            <a:extLst>
              <a:ext uri="{FF2B5EF4-FFF2-40B4-BE49-F238E27FC236}">
                <a16:creationId xmlns:a16="http://schemas.microsoft.com/office/drawing/2014/main" id="{00000000-0008-0000-0700-0000B2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26</xdr:col>
      <xdr:colOff>535782</xdr:colOff>
      <xdr:row>2</xdr:row>
      <xdr:rowOff>166687</xdr:rowOff>
    </xdr:from>
    <xdr:to>
      <xdr:col>31</xdr:col>
      <xdr:colOff>190501</xdr:colOff>
      <xdr:row>18</xdr:row>
      <xdr:rowOff>83344</xdr:rowOff>
    </xdr:to>
    <xdr:sp macro="" textlink="">
      <xdr:nvSpPr>
        <xdr:cNvPr id="180" name="Blok Yay 179">
          <a:extLst>
            <a:ext uri="{FF2B5EF4-FFF2-40B4-BE49-F238E27FC236}">
              <a16:creationId xmlns:a16="http://schemas.microsoft.com/office/drawing/2014/main" id="{00000000-0008-0000-0700-0000B4000000}"/>
            </a:ext>
          </a:extLst>
        </xdr:cNvPr>
        <xdr:cNvSpPr/>
      </xdr:nvSpPr>
      <xdr:spPr>
        <a:xfrm>
          <a:off x="16323470" y="547687"/>
          <a:ext cx="2690812" cy="2964657"/>
        </a:xfrm>
        <a:prstGeom prst="blockArc">
          <a:avLst>
            <a:gd name="adj1" fmla="val 10733576"/>
            <a:gd name="adj2" fmla="val 27164"/>
            <a:gd name="adj3" fmla="val 12050"/>
          </a:avLst>
        </a:prstGeom>
        <a:gradFill flip="none" rotWithShape="1">
          <a:gsLst>
            <a:gs pos="0">
              <a:srgbClr val="FF0000"/>
            </a:gs>
            <a:gs pos="100000">
              <a:schemeClr val="accent1"/>
            </a:gs>
          </a:gsLst>
          <a:lin ang="108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464343</xdr:colOff>
      <xdr:row>15</xdr:row>
      <xdr:rowOff>142875</xdr:rowOff>
    </xdr:from>
    <xdr:to>
      <xdr:col>21</xdr:col>
      <xdr:colOff>369093</xdr:colOff>
      <xdr:row>20</xdr:row>
      <xdr:rowOff>11906</xdr:rowOff>
    </xdr:to>
    <xdr:sp macro="" textlink="">
      <xdr:nvSpPr>
        <xdr:cNvPr id="183" name="Oval 182">
          <a:extLst>
            <a:ext uri="{FF2B5EF4-FFF2-40B4-BE49-F238E27FC236}">
              <a16:creationId xmlns:a16="http://schemas.microsoft.com/office/drawing/2014/main" id="{00000000-0008-0000-0700-0000B7000000}"/>
            </a:ext>
          </a:extLst>
        </xdr:cNvPr>
        <xdr:cNvSpPr/>
      </xdr:nvSpPr>
      <xdr:spPr>
        <a:xfrm>
          <a:off x="11394281" y="3000375"/>
          <a:ext cx="1726406" cy="821531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KİTAPLIK HEDEF/</a:t>
          </a:r>
          <a:r>
            <a:rPr lang="tr-T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SATIŞ ORANI</a:t>
          </a:r>
          <a:endParaRPr lang="tr-T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27</xdr:col>
      <xdr:colOff>464344</xdr:colOff>
      <xdr:row>15</xdr:row>
      <xdr:rowOff>95251</xdr:rowOff>
    </xdr:from>
    <xdr:to>
      <xdr:col>30</xdr:col>
      <xdr:colOff>285749</xdr:colOff>
      <xdr:row>19</xdr:row>
      <xdr:rowOff>154782</xdr:rowOff>
    </xdr:to>
    <xdr:sp macro="" textlink="">
      <xdr:nvSpPr>
        <xdr:cNvPr id="184" name="Oval 183">
          <a:extLst>
            <a:ext uri="{FF2B5EF4-FFF2-40B4-BE49-F238E27FC236}">
              <a16:creationId xmlns:a16="http://schemas.microsoft.com/office/drawing/2014/main" id="{00000000-0008-0000-0700-0000B8000000}"/>
            </a:ext>
          </a:extLst>
        </xdr:cNvPr>
        <xdr:cNvSpPr/>
      </xdr:nvSpPr>
      <xdr:spPr>
        <a:xfrm>
          <a:off x="16859250" y="2952751"/>
          <a:ext cx="1643062" cy="821531"/>
        </a:xfrm>
        <a:prstGeom prst="ellipse">
          <a:avLst/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MASA HEDEF/</a:t>
          </a:r>
          <a:r>
            <a:rPr lang="tr-TR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SATIŞ ORANI</a:t>
          </a:r>
          <a:endParaRPr lang="tr-TR" sz="1100" b="1">
            <a:solidFill>
              <a:schemeClr val="accent2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511969</xdr:colOff>
      <xdr:row>11</xdr:row>
      <xdr:rowOff>83344</xdr:rowOff>
    </xdr:from>
    <xdr:to>
      <xdr:col>18</xdr:col>
      <xdr:colOff>228750</xdr:colOff>
      <xdr:row>11</xdr:row>
      <xdr:rowOff>83344</xdr:rowOff>
    </xdr:to>
    <xdr:cxnSp macro="">
      <xdr:nvCxnSpPr>
        <xdr:cNvPr id="185" name="Düz Bağlayıcı 184">
          <a:extLst>
            <a:ext uri="{FF2B5EF4-FFF2-40B4-BE49-F238E27FC236}">
              <a16:creationId xmlns:a16="http://schemas.microsoft.com/office/drawing/2014/main" id="{00000000-0008-0000-0700-0000B9000000}"/>
            </a:ext>
          </a:extLst>
        </xdr:cNvPr>
        <xdr:cNvCxnSpPr/>
      </xdr:nvCxnSpPr>
      <xdr:spPr>
        <a:xfrm flipV="1">
          <a:off x="10834688" y="2178844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547688</xdr:colOff>
      <xdr:row>9</xdr:row>
      <xdr:rowOff>47625</xdr:rowOff>
    </xdr:from>
    <xdr:to>
      <xdr:col>18</xdr:col>
      <xdr:colOff>264469</xdr:colOff>
      <xdr:row>9</xdr:row>
      <xdr:rowOff>47625</xdr:rowOff>
    </xdr:to>
    <xdr:cxnSp macro="">
      <xdr:nvCxnSpPr>
        <xdr:cNvPr id="186" name="Düz Bağlayıcı 185">
          <a:extLst>
            <a:ext uri="{FF2B5EF4-FFF2-40B4-BE49-F238E27FC236}">
              <a16:creationId xmlns:a16="http://schemas.microsoft.com/office/drawing/2014/main" id="{00000000-0008-0000-0700-0000BA000000}"/>
            </a:ext>
          </a:extLst>
        </xdr:cNvPr>
        <xdr:cNvCxnSpPr/>
      </xdr:nvCxnSpPr>
      <xdr:spPr>
        <a:xfrm rot="420000" flipV="1">
          <a:off x="10870407" y="1762125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552524</xdr:colOff>
      <xdr:row>4</xdr:row>
      <xdr:rowOff>168993</xdr:rowOff>
    </xdr:from>
    <xdr:to>
      <xdr:col>18</xdr:col>
      <xdr:colOff>552524</xdr:colOff>
      <xdr:row>6</xdr:row>
      <xdr:rowOff>111993</xdr:rowOff>
    </xdr:to>
    <xdr:cxnSp macro="">
      <xdr:nvCxnSpPr>
        <xdr:cNvPr id="187" name="Düz Bağlayıcı 186">
          <a:extLst>
            <a:ext uri="{FF2B5EF4-FFF2-40B4-BE49-F238E27FC236}">
              <a16:creationId xmlns:a16="http://schemas.microsoft.com/office/drawing/2014/main" id="{00000000-0008-0000-0700-0000BB000000}"/>
            </a:ext>
          </a:extLst>
        </xdr:cNvPr>
        <xdr:cNvCxnSpPr/>
      </xdr:nvCxnSpPr>
      <xdr:spPr>
        <a:xfrm rot="2940000" flipV="1">
          <a:off x="11320462" y="1092993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126206</xdr:colOff>
      <xdr:row>7</xdr:row>
      <xdr:rowOff>78582</xdr:rowOff>
    </xdr:from>
    <xdr:to>
      <xdr:col>18</xdr:col>
      <xdr:colOff>450206</xdr:colOff>
      <xdr:row>7</xdr:row>
      <xdr:rowOff>78582</xdr:rowOff>
    </xdr:to>
    <xdr:cxnSp macro="">
      <xdr:nvCxnSpPr>
        <xdr:cNvPr id="188" name="Düz Bağlayıcı 187">
          <a:extLst>
            <a:ext uri="{FF2B5EF4-FFF2-40B4-BE49-F238E27FC236}">
              <a16:creationId xmlns:a16="http://schemas.microsoft.com/office/drawing/2014/main" id="{00000000-0008-0000-0700-0000BC000000}"/>
            </a:ext>
          </a:extLst>
        </xdr:cNvPr>
        <xdr:cNvCxnSpPr/>
      </xdr:nvCxnSpPr>
      <xdr:spPr>
        <a:xfrm rot="1440000" flipV="1">
          <a:off x="11056144" y="1412082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321545</xdr:colOff>
      <xdr:row>3</xdr:row>
      <xdr:rowOff>176139</xdr:rowOff>
    </xdr:from>
    <xdr:to>
      <xdr:col>19</xdr:col>
      <xdr:colOff>321545</xdr:colOff>
      <xdr:row>5</xdr:row>
      <xdr:rowOff>119139</xdr:rowOff>
    </xdr:to>
    <xdr:cxnSp macro="">
      <xdr:nvCxnSpPr>
        <xdr:cNvPr id="189" name="Düz Bağlayıcı 188">
          <a:extLst>
            <a:ext uri="{FF2B5EF4-FFF2-40B4-BE49-F238E27FC236}">
              <a16:creationId xmlns:a16="http://schemas.microsoft.com/office/drawing/2014/main" id="{00000000-0008-0000-0700-0000BD000000}"/>
            </a:ext>
          </a:extLst>
        </xdr:cNvPr>
        <xdr:cNvCxnSpPr/>
      </xdr:nvCxnSpPr>
      <xdr:spPr>
        <a:xfrm rot="4320000" flipV="1">
          <a:off x="11696701" y="909639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92944</xdr:colOff>
      <xdr:row>3</xdr:row>
      <xdr:rowOff>102320</xdr:rowOff>
    </xdr:from>
    <xdr:to>
      <xdr:col>20</xdr:col>
      <xdr:colOff>92944</xdr:colOff>
      <xdr:row>5</xdr:row>
      <xdr:rowOff>45320</xdr:rowOff>
    </xdr:to>
    <xdr:cxnSp macro="">
      <xdr:nvCxnSpPr>
        <xdr:cNvPr id="190" name="Düz Bağlayıcı 189">
          <a:extLst>
            <a:ext uri="{FF2B5EF4-FFF2-40B4-BE49-F238E27FC236}">
              <a16:creationId xmlns:a16="http://schemas.microsoft.com/office/drawing/2014/main" id="{00000000-0008-0000-0700-0000BE000000}"/>
            </a:ext>
          </a:extLst>
        </xdr:cNvPr>
        <xdr:cNvCxnSpPr/>
      </xdr:nvCxnSpPr>
      <xdr:spPr>
        <a:xfrm rot="5340000" flipV="1">
          <a:off x="12075319" y="835820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507281</xdr:colOff>
      <xdr:row>4</xdr:row>
      <xdr:rowOff>4688</xdr:rowOff>
    </xdr:from>
    <xdr:to>
      <xdr:col>20</xdr:col>
      <xdr:colOff>507281</xdr:colOff>
      <xdr:row>5</xdr:row>
      <xdr:rowOff>138188</xdr:rowOff>
    </xdr:to>
    <xdr:cxnSp macro="">
      <xdr:nvCxnSpPr>
        <xdr:cNvPr id="191" name="Düz Bağlayıcı 190">
          <a:extLst>
            <a:ext uri="{FF2B5EF4-FFF2-40B4-BE49-F238E27FC236}">
              <a16:creationId xmlns:a16="http://schemas.microsoft.com/office/drawing/2014/main" id="{00000000-0008-0000-0700-0000BF000000}"/>
            </a:ext>
          </a:extLst>
        </xdr:cNvPr>
        <xdr:cNvCxnSpPr/>
      </xdr:nvCxnSpPr>
      <xdr:spPr>
        <a:xfrm rot="6900000" flipV="1">
          <a:off x="12489656" y="928688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92869</xdr:colOff>
      <xdr:row>6</xdr:row>
      <xdr:rowOff>9526</xdr:rowOff>
    </xdr:from>
    <xdr:to>
      <xdr:col>21</xdr:col>
      <xdr:colOff>416869</xdr:colOff>
      <xdr:row>6</xdr:row>
      <xdr:rowOff>9526</xdr:rowOff>
    </xdr:to>
    <xdr:cxnSp macro="">
      <xdr:nvCxnSpPr>
        <xdr:cNvPr id="192" name="Düz Bağlayıcı 191">
          <a:extLst>
            <a:ext uri="{FF2B5EF4-FFF2-40B4-BE49-F238E27FC236}">
              <a16:creationId xmlns:a16="http://schemas.microsoft.com/office/drawing/2014/main" id="{00000000-0008-0000-0700-0000C0000000}"/>
            </a:ext>
          </a:extLst>
        </xdr:cNvPr>
        <xdr:cNvCxnSpPr/>
      </xdr:nvCxnSpPr>
      <xdr:spPr>
        <a:xfrm rot="-2340000" flipV="1">
          <a:off x="12844463" y="1152526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352425</xdr:colOff>
      <xdr:row>7</xdr:row>
      <xdr:rowOff>138113</xdr:rowOff>
    </xdr:from>
    <xdr:to>
      <xdr:col>22</xdr:col>
      <xdr:colOff>69206</xdr:colOff>
      <xdr:row>7</xdr:row>
      <xdr:rowOff>138113</xdr:rowOff>
    </xdr:to>
    <xdr:cxnSp macro="">
      <xdr:nvCxnSpPr>
        <xdr:cNvPr id="193" name="Düz Bağlayıcı 192">
          <a:extLst>
            <a:ext uri="{FF2B5EF4-FFF2-40B4-BE49-F238E27FC236}">
              <a16:creationId xmlns:a16="http://schemas.microsoft.com/office/drawing/2014/main" id="{00000000-0008-0000-0700-0000C1000000}"/>
            </a:ext>
          </a:extLst>
        </xdr:cNvPr>
        <xdr:cNvCxnSpPr/>
      </xdr:nvCxnSpPr>
      <xdr:spPr>
        <a:xfrm rot="-1200000" flipV="1">
          <a:off x="13104019" y="1471613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504824</xdr:colOff>
      <xdr:row>9</xdr:row>
      <xdr:rowOff>111919</xdr:rowOff>
    </xdr:from>
    <xdr:to>
      <xdr:col>22</xdr:col>
      <xdr:colOff>221605</xdr:colOff>
      <xdr:row>9</xdr:row>
      <xdr:rowOff>111919</xdr:rowOff>
    </xdr:to>
    <xdr:cxnSp macro="">
      <xdr:nvCxnSpPr>
        <xdr:cNvPr id="194" name="Düz Bağlayıcı 193">
          <a:extLst>
            <a:ext uri="{FF2B5EF4-FFF2-40B4-BE49-F238E27FC236}">
              <a16:creationId xmlns:a16="http://schemas.microsoft.com/office/drawing/2014/main" id="{00000000-0008-0000-0700-0000C2000000}"/>
            </a:ext>
          </a:extLst>
        </xdr:cNvPr>
        <xdr:cNvCxnSpPr/>
      </xdr:nvCxnSpPr>
      <xdr:spPr>
        <a:xfrm rot="-660000" flipV="1">
          <a:off x="13256418" y="1826419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535781</xdr:colOff>
      <xdr:row>11</xdr:row>
      <xdr:rowOff>59532</xdr:rowOff>
    </xdr:from>
    <xdr:to>
      <xdr:col>22</xdr:col>
      <xdr:colOff>252562</xdr:colOff>
      <xdr:row>11</xdr:row>
      <xdr:rowOff>59532</xdr:rowOff>
    </xdr:to>
    <xdr:cxnSp macro="">
      <xdr:nvCxnSpPr>
        <xdr:cNvPr id="197" name="Düz Bağlayıcı 196">
          <a:extLst>
            <a:ext uri="{FF2B5EF4-FFF2-40B4-BE49-F238E27FC236}">
              <a16:creationId xmlns:a16="http://schemas.microsoft.com/office/drawing/2014/main" id="{00000000-0008-0000-0700-0000C5000000}"/>
            </a:ext>
          </a:extLst>
        </xdr:cNvPr>
        <xdr:cNvCxnSpPr/>
      </xdr:nvCxnSpPr>
      <xdr:spPr>
        <a:xfrm flipV="1">
          <a:off x="13287375" y="2155032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309563</xdr:colOff>
      <xdr:row>5</xdr:row>
      <xdr:rowOff>157161</xdr:rowOff>
    </xdr:from>
    <xdr:to>
      <xdr:col>18</xdr:col>
      <xdr:colOff>507208</xdr:colOff>
      <xdr:row>7</xdr:row>
      <xdr:rowOff>30956</xdr:rowOff>
    </xdr:to>
    <xdr:grpSp>
      <xdr:nvGrpSpPr>
        <xdr:cNvPr id="134" name="Grup 133">
          <a:extLst>
            <a:ext uri="{FF2B5EF4-FFF2-40B4-BE49-F238E27FC236}">
              <a16:creationId xmlns:a16="http://schemas.microsoft.com/office/drawing/2014/main" id="{00000000-0008-0000-0700-000086000000}"/>
            </a:ext>
          </a:extLst>
        </xdr:cNvPr>
        <xdr:cNvGrpSpPr/>
      </xdr:nvGrpSpPr>
      <xdr:grpSpPr>
        <a:xfrm rot="2067556">
          <a:off x="11239501" y="1109661"/>
          <a:ext cx="197645" cy="254795"/>
          <a:chOff x="5762624" y="2102643"/>
          <a:chExt cx="197645" cy="254795"/>
        </a:xfrm>
      </xdr:grpSpPr>
      <xdr:cxnSp macro="">
        <xdr:nvCxnSpPr>
          <xdr:cNvPr id="135" name="Düz Bağlayıcı 134">
            <a:extLst>
              <a:ext uri="{FF2B5EF4-FFF2-40B4-BE49-F238E27FC236}">
                <a16:creationId xmlns:a16="http://schemas.microsoft.com/office/drawing/2014/main" id="{00000000-0008-0000-0700-000087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36" name="Düz Bağlayıcı 135">
            <a:extLst>
              <a:ext uri="{FF2B5EF4-FFF2-40B4-BE49-F238E27FC236}">
                <a16:creationId xmlns:a16="http://schemas.microsoft.com/office/drawing/2014/main" id="{00000000-0008-0000-0700-000088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37" name="Düz Bağlayıcı 136">
            <a:extLst>
              <a:ext uri="{FF2B5EF4-FFF2-40B4-BE49-F238E27FC236}">
                <a16:creationId xmlns:a16="http://schemas.microsoft.com/office/drawing/2014/main" id="{00000000-0008-0000-0700-000089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38" name="Düz Bağlayıcı 137">
            <a:extLst>
              <a:ext uri="{FF2B5EF4-FFF2-40B4-BE49-F238E27FC236}">
                <a16:creationId xmlns:a16="http://schemas.microsoft.com/office/drawing/2014/main" id="{00000000-0008-0000-0700-00008A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595311</xdr:colOff>
      <xdr:row>10</xdr:row>
      <xdr:rowOff>23811</xdr:rowOff>
    </xdr:from>
    <xdr:to>
      <xdr:col>17</xdr:col>
      <xdr:colOff>595310</xdr:colOff>
      <xdr:row>12</xdr:row>
      <xdr:rowOff>119061</xdr:rowOff>
    </xdr:to>
    <xdr:sp macro="" textlink="">
      <xdr:nvSpPr>
        <xdr:cNvPr id="22" name="Metin kutusu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0310811" y="1928811"/>
          <a:ext cx="60721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0%</a:t>
          </a:r>
        </a:p>
      </xdr:txBody>
    </xdr:sp>
    <xdr:clientData/>
  </xdr:twoCellAnchor>
  <xdr:twoCellAnchor>
    <xdr:from>
      <xdr:col>17</xdr:col>
      <xdr:colOff>23813</xdr:colOff>
      <xdr:row>7</xdr:row>
      <xdr:rowOff>154781</xdr:rowOff>
    </xdr:from>
    <xdr:to>
      <xdr:col>18</xdr:col>
      <xdr:colOff>23812</xdr:colOff>
      <xdr:row>10</xdr:row>
      <xdr:rowOff>59531</xdr:rowOff>
    </xdr:to>
    <xdr:sp macro="" textlink="">
      <xdr:nvSpPr>
        <xdr:cNvPr id="201" name="Metin kutusu 200">
          <a:extLst>
            <a:ext uri="{FF2B5EF4-FFF2-40B4-BE49-F238E27FC236}">
              <a16:creationId xmlns:a16="http://schemas.microsoft.com/office/drawing/2014/main" id="{00000000-0008-0000-0700-0000C9000000}"/>
            </a:ext>
          </a:extLst>
        </xdr:cNvPr>
        <xdr:cNvSpPr txBox="1"/>
      </xdr:nvSpPr>
      <xdr:spPr>
        <a:xfrm>
          <a:off x="10346532" y="1488281"/>
          <a:ext cx="60721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10%</a:t>
          </a:r>
        </a:p>
      </xdr:txBody>
    </xdr:sp>
    <xdr:clientData/>
  </xdr:twoCellAnchor>
  <xdr:twoCellAnchor>
    <xdr:from>
      <xdr:col>17</xdr:col>
      <xdr:colOff>583406</xdr:colOff>
      <xdr:row>3</xdr:row>
      <xdr:rowOff>59531</xdr:rowOff>
    </xdr:from>
    <xdr:to>
      <xdr:col>18</xdr:col>
      <xdr:colOff>583405</xdr:colOff>
      <xdr:row>5</xdr:row>
      <xdr:rowOff>154781</xdr:rowOff>
    </xdr:to>
    <xdr:sp macro="" textlink="">
      <xdr:nvSpPr>
        <xdr:cNvPr id="202" name="Metin kutusu 201">
          <a:extLst>
            <a:ext uri="{FF2B5EF4-FFF2-40B4-BE49-F238E27FC236}">
              <a16:creationId xmlns:a16="http://schemas.microsoft.com/office/drawing/2014/main" id="{00000000-0008-0000-0700-0000CA000000}"/>
            </a:ext>
          </a:extLst>
        </xdr:cNvPr>
        <xdr:cNvSpPr txBox="1"/>
      </xdr:nvSpPr>
      <xdr:spPr>
        <a:xfrm>
          <a:off x="10906125" y="631031"/>
          <a:ext cx="60721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30%</a:t>
          </a:r>
        </a:p>
      </xdr:txBody>
    </xdr:sp>
    <xdr:clientData/>
  </xdr:twoCellAnchor>
  <xdr:twoCellAnchor>
    <xdr:from>
      <xdr:col>17</xdr:col>
      <xdr:colOff>223838</xdr:colOff>
      <xdr:row>5</xdr:row>
      <xdr:rowOff>116682</xdr:rowOff>
    </xdr:from>
    <xdr:to>
      <xdr:col>18</xdr:col>
      <xdr:colOff>223837</xdr:colOff>
      <xdr:row>8</xdr:row>
      <xdr:rowOff>21432</xdr:rowOff>
    </xdr:to>
    <xdr:sp macro="" textlink="">
      <xdr:nvSpPr>
        <xdr:cNvPr id="203" name="Metin kutusu 202">
          <a:extLst>
            <a:ext uri="{FF2B5EF4-FFF2-40B4-BE49-F238E27FC236}">
              <a16:creationId xmlns:a16="http://schemas.microsoft.com/office/drawing/2014/main" id="{00000000-0008-0000-0700-0000CB000000}"/>
            </a:ext>
          </a:extLst>
        </xdr:cNvPr>
        <xdr:cNvSpPr txBox="1"/>
      </xdr:nvSpPr>
      <xdr:spPr>
        <a:xfrm>
          <a:off x="10546557" y="1069182"/>
          <a:ext cx="60721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20%</a:t>
          </a:r>
        </a:p>
      </xdr:txBody>
    </xdr:sp>
    <xdr:clientData/>
  </xdr:twoCellAnchor>
  <xdr:twoCellAnchor>
    <xdr:from>
      <xdr:col>20</xdr:col>
      <xdr:colOff>411957</xdr:colOff>
      <xdr:row>2</xdr:row>
      <xdr:rowOff>30957</xdr:rowOff>
    </xdr:from>
    <xdr:to>
      <xdr:col>21</xdr:col>
      <xdr:colOff>411956</xdr:colOff>
      <xdr:row>4</xdr:row>
      <xdr:rowOff>126207</xdr:rowOff>
    </xdr:to>
    <xdr:sp macro="" textlink="">
      <xdr:nvSpPr>
        <xdr:cNvPr id="204" name="Metin kutusu 203">
          <a:extLst>
            <a:ext uri="{FF2B5EF4-FFF2-40B4-BE49-F238E27FC236}">
              <a16:creationId xmlns:a16="http://schemas.microsoft.com/office/drawing/2014/main" id="{00000000-0008-0000-0700-0000CC000000}"/>
            </a:ext>
          </a:extLst>
        </xdr:cNvPr>
        <xdr:cNvSpPr txBox="1"/>
      </xdr:nvSpPr>
      <xdr:spPr>
        <a:xfrm>
          <a:off x="12556332" y="411957"/>
          <a:ext cx="60721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60%</a:t>
          </a:r>
        </a:p>
      </xdr:txBody>
    </xdr:sp>
    <xdr:clientData/>
  </xdr:twoCellAnchor>
  <xdr:twoCellAnchor>
    <xdr:from>
      <xdr:col>19</xdr:col>
      <xdr:colOff>397669</xdr:colOff>
      <xdr:row>1</xdr:row>
      <xdr:rowOff>64293</xdr:rowOff>
    </xdr:from>
    <xdr:to>
      <xdr:col>20</xdr:col>
      <xdr:colOff>397668</xdr:colOff>
      <xdr:row>3</xdr:row>
      <xdr:rowOff>159543</xdr:rowOff>
    </xdr:to>
    <xdr:sp macro="" textlink="">
      <xdr:nvSpPr>
        <xdr:cNvPr id="205" name="Metin kutusu 204">
          <a:extLst>
            <a:ext uri="{FF2B5EF4-FFF2-40B4-BE49-F238E27FC236}">
              <a16:creationId xmlns:a16="http://schemas.microsoft.com/office/drawing/2014/main" id="{00000000-0008-0000-0700-0000CD000000}"/>
            </a:ext>
          </a:extLst>
        </xdr:cNvPr>
        <xdr:cNvSpPr txBox="1"/>
      </xdr:nvSpPr>
      <xdr:spPr>
        <a:xfrm>
          <a:off x="11934825" y="254793"/>
          <a:ext cx="60721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50%</a:t>
          </a:r>
        </a:p>
      </xdr:txBody>
    </xdr:sp>
    <xdr:clientData/>
  </xdr:twoCellAnchor>
  <xdr:twoCellAnchor>
    <xdr:from>
      <xdr:col>18</xdr:col>
      <xdr:colOff>454817</xdr:colOff>
      <xdr:row>1</xdr:row>
      <xdr:rowOff>157162</xdr:rowOff>
    </xdr:from>
    <xdr:to>
      <xdr:col>19</xdr:col>
      <xdr:colOff>454817</xdr:colOff>
      <xdr:row>4</xdr:row>
      <xdr:rowOff>61912</xdr:rowOff>
    </xdr:to>
    <xdr:sp macro="" textlink="">
      <xdr:nvSpPr>
        <xdr:cNvPr id="206" name="Metin kutusu 205">
          <a:extLst>
            <a:ext uri="{FF2B5EF4-FFF2-40B4-BE49-F238E27FC236}">
              <a16:creationId xmlns:a16="http://schemas.microsoft.com/office/drawing/2014/main" id="{00000000-0008-0000-0700-0000CE000000}"/>
            </a:ext>
          </a:extLst>
        </xdr:cNvPr>
        <xdr:cNvSpPr txBox="1"/>
      </xdr:nvSpPr>
      <xdr:spPr>
        <a:xfrm>
          <a:off x="11384755" y="347662"/>
          <a:ext cx="60721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40%</a:t>
          </a:r>
        </a:p>
      </xdr:txBody>
    </xdr:sp>
    <xdr:clientData/>
  </xdr:twoCellAnchor>
  <xdr:twoCellAnchor>
    <xdr:from>
      <xdr:col>21</xdr:col>
      <xdr:colOff>583406</xdr:colOff>
      <xdr:row>5</xdr:row>
      <xdr:rowOff>178594</xdr:rowOff>
    </xdr:from>
    <xdr:to>
      <xdr:col>22</xdr:col>
      <xdr:colOff>583405</xdr:colOff>
      <xdr:row>8</xdr:row>
      <xdr:rowOff>83344</xdr:rowOff>
    </xdr:to>
    <xdr:sp macro="" textlink="">
      <xdr:nvSpPr>
        <xdr:cNvPr id="207" name="Metin kutusu 206">
          <a:extLst>
            <a:ext uri="{FF2B5EF4-FFF2-40B4-BE49-F238E27FC236}">
              <a16:creationId xmlns:a16="http://schemas.microsoft.com/office/drawing/2014/main" id="{00000000-0008-0000-0700-0000CF000000}"/>
            </a:ext>
          </a:extLst>
        </xdr:cNvPr>
        <xdr:cNvSpPr txBox="1"/>
      </xdr:nvSpPr>
      <xdr:spPr>
        <a:xfrm>
          <a:off x="13335000" y="1131094"/>
          <a:ext cx="60721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80%</a:t>
          </a:r>
        </a:p>
      </xdr:txBody>
    </xdr:sp>
    <xdr:clientData/>
  </xdr:twoCellAnchor>
  <xdr:twoCellAnchor>
    <xdr:from>
      <xdr:col>21</xdr:col>
      <xdr:colOff>259556</xdr:colOff>
      <xdr:row>3</xdr:row>
      <xdr:rowOff>152400</xdr:rowOff>
    </xdr:from>
    <xdr:to>
      <xdr:col>22</xdr:col>
      <xdr:colOff>259555</xdr:colOff>
      <xdr:row>6</xdr:row>
      <xdr:rowOff>57150</xdr:rowOff>
    </xdr:to>
    <xdr:sp macro="" textlink="">
      <xdr:nvSpPr>
        <xdr:cNvPr id="208" name="Metin kutusu 207">
          <a:extLst>
            <a:ext uri="{FF2B5EF4-FFF2-40B4-BE49-F238E27FC236}">
              <a16:creationId xmlns:a16="http://schemas.microsoft.com/office/drawing/2014/main" id="{00000000-0008-0000-0700-0000D0000000}"/>
            </a:ext>
          </a:extLst>
        </xdr:cNvPr>
        <xdr:cNvSpPr txBox="1"/>
      </xdr:nvSpPr>
      <xdr:spPr>
        <a:xfrm>
          <a:off x="13011150" y="723900"/>
          <a:ext cx="60721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70%</a:t>
          </a:r>
        </a:p>
      </xdr:txBody>
    </xdr:sp>
    <xdr:clientData/>
  </xdr:twoCellAnchor>
  <xdr:twoCellAnchor>
    <xdr:from>
      <xdr:col>22</xdr:col>
      <xdr:colOff>150018</xdr:colOff>
      <xdr:row>10</xdr:row>
      <xdr:rowOff>30956</xdr:rowOff>
    </xdr:from>
    <xdr:to>
      <xdr:col>23</xdr:col>
      <xdr:colOff>150018</xdr:colOff>
      <xdr:row>12</xdr:row>
      <xdr:rowOff>126206</xdr:rowOff>
    </xdr:to>
    <xdr:sp macro="" textlink="">
      <xdr:nvSpPr>
        <xdr:cNvPr id="209" name="Metin kutusu 208">
          <a:extLst>
            <a:ext uri="{FF2B5EF4-FFF2-40B4-BE49-F238E27FC236}">
              <a16:creationId xmlns:a16="http://schemas.microsoft.com/office/drawing/2014/main" id="{00000000-0008-0000-0700-0000D1000000}"/>
            </a:ext>
          </a:extLst>
        </xdr:cNvPr>
        <xdr:cNvSpPr txBox="1"/>
      </xdr:nvSpPr>
      <xdr:spPr>
        <a:xfrm>
          <a:off x="13508831" y="1935956"/>
          <a:ext cx="60721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100%</a:t>
          </a:r>
        </a:p>
      </xdr:txBody>
    </xdr:sp>
    <xdr:clientData/>
  </xdr:twoCellAnchor>
  <xdr:twoCellAnchor>
    <xdr:from>
      <xdr:col>22</xdr:col>
      <xdr:colOff>88105</xdr:colOff>
      <xdr:row>8</xdr:row>
      <xdr:rowOff>16670</xdr:rowOff>
    </xdr:from>
    <xdr:to>
      <xdr:col>23</xdr:col>
      <xdr:colOff>88105</xdr:colOff>
      <xdr:row>10</xdr:row>
      <xdr:rowOff>111920</xdr:rowOff>
    </xdr:to>
    <xdr:sp macro="" textlink="">
      <xdr:nvSpPr>
        <xdr:cNvPr id="210" name="Metin kutusu 209">
          <a:extLst>
            <a:ext uri="{FF2B5EF4-FFF2-40B4-BE49-F238E27FC236}">
              <a16:creationId xmlns:a16="http://schemas.microsoft.com/office/drawing/2014/main" id="{00000000-0008-0000-0700-0000D2000000}"/>
            </a:ext>
          </a:extLst>
        </xdr:cNvPr>
        <xdr:cNvSpPr txBox="1"/>
      </xdr:nvSpPr>
      <xdr:spPr>
        <a:xfrm>
          <a:off x="13446918" y="1540670"/>
          <a:ext cx="607218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90%</a:t>
          </a:r>
        </a:p>
      </xdr:txBody>
    </xdr:sp>
    <xdr:clientData/>
  </xdr:twoCellAnchor>
  <xdr:twoCellAnchor>
    <xdr:from>
      <xdr:col>26</xdr:col>
      <xdr:colOff>547688</xdr:colOff>
      <xdr:row>10</xdr:row>
      <xdr:rowOff>142875</xdr:rowOff>
    </xdr:from>
    <xdr:to>
      <xdr:col>27</xdr:col>
      <xdr:colOff>264470</xdr:colOff>
      <xdr:row>10</xdr:row>
      <xdr:rowOff>142875</xdr:rowOff>
    </xdr:to>
    <xdr:cxnSp macro="">
      <xdr:nvCxnSpPr>
        <xdr:cNvPr id="211" name="Düz Bağlayıcı 210">
          <a:extLst>
            <a:ext uri="{FF2B5EF4-FFF2-40B4-BE49-F238E27FC236}">
              <a16:creationId xmlns:a16="http://schemas.microsoft.com/office/drawing/2014/main" id="{00000000-0008-0000-0700-0000D3000000}"/>
            </a:ext>
          </a:extLst>
        </xdr:cNvPr>
        <xdr:cNvCxnSpPr/>
      </xdr:nvCxnSpPr>
      <xdr:spPr>
        <a:xfrm flipV="1">
          <a:off x="16335376" y="2047875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583406</xdr:colOff>
      <xdr:row>8</xdr:row>
      <xdr:rowOff>154782</xdr:rowOff>
    </xdr:from>
    <xdr:to>
      <xdr:col>27</xdr:col>
      <xdr:colOff>300188</xdr:colOff>
      <xdr:row>8</xdr:row>
      <xdr:rowOff>154782</xdr:rowOff>
    </xdr:to>
    <xdr:cxnSp macro="">
      <xdr:nvCxnSpPr>
        <xdr:cNvPr id="212" name="Düz Bağlayıcı 211">
          <a:extLst>
            <a:ext uri="{FF2B5EF4-FFF2-40B4-BE49-F238E27FC236}">
              <a16:creationId xmlns:a16="http://schemas.microsoft.com/office/drawing/2014/main" id="{00000000-0008-0000-0700-0000D4000000}"/>
            </a:ext>
          </a:extLst>
        </xdr:cNvPr>
        <xdr:cNvCxnSpPr/>
      </xdr:nvCxnSpPr>
      <xdr:spPr>
        <a:xfrm rot="600000" flipV="1">
          <a:off x="16371094" y="1678782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130969</xdr:colOff>
      <xdr:row>6</xdr:row>
      <xdr:rowOff>178593</xdr:rowOff>
    </xdr:from>
    <xdr:to>
      <xdr:col>27</xdr:col>
      <xdr:colOff>454969</xdr:colOff>
      <xdr:row>6</xdr:row>
      <xdr:rowOff>178593</xdr:rowOff>
    </xdr:to>
    <xdr:cxnSp macro="">
      <xdr:nvCxnSpPr>
        <xdr:cNvPr id="213" name="Düz Bağlayıcı 212">
          <a:extLst>
            <a:ext uri="{FF2B5EF4-FFF2-40B4-BE49-F238E27FC236}">
              <a16:creationId xmlns:a16="http://schemas.microsoft.com/office/drawing/2014/main" id="{00000000-0008-0000-0700-0000D5000000}"/>
            </a:ext>
          </a:extLst>
        </xdr:cNvPr>
        <xdr:cNvCxnSpPr/>
      </xdr:nvCxnSpPr>
      <xdr:spPr>
        <a:xfrm rot="1560000" flipV="1">
          <a:off x="16525875" y="1321593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357189</xdr:colOff>
      <xdr:row>5</xdr:row>
      <xdr:rowOff>83344</xdr:rowOff>
    </xdr:from>
    <xdr:to>
      <xdr:col>28</xdr:col>
      <xdr:colOff>73970</xdr:colOff>
      <xdr:row>5</xdr:row>
      <xdr:rowOff>83344</xdr:rowOff>
    </xdr:to>
    <xdr:cxnSp macro="">
      <xdr:nvCxnSpPr>
        <xdr:cNvPr id="214" name="Düz Bağlayıcı 213">
          <a:extLst>
            <a:ext uri="{FF2B5EF4-FFF2-40B4-BE49-F238E27FC236}">
              <a16:creationId xmlns:a16="http://schemas.microsoft.com/office/drawing/2014/main" id="{00000000-0008-0000-0700-0000D6000000}"/>
            </a:ext>
          </a:extLst>
        </xdr:cNvPr>
        <xdr:cNvCxnSpPr/>
      </xdr:nvCxnSpPr>
      <xdr:spPr>
        <a:xfrm rot="2520000" flipV="1">
          <a:off x="16752095" y="1035844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231057</xdr:colOff>
      <xdr:row>3</xdr:row>
      <xdr:rowOff>85649</xdr:rowOff>
    </xdr:from>
    <xdr:to>
      <xdr:col>28</xdr:col>
      <xdr:colOff>231057</xdr:colOff>
      <xdr:row>5</xdr:row>
      <xdr:rowOff>28649</xdr:rowOff>
    </xdr:to>
    <xdr:cxnSp macro="">
      <xdr:nvCxnSpPr>
        <xdr:cNvPr id="215" name="Düz Bağlayıcı 214">
          <a:extLst>
            <a:ext uri="{FF2B5EF4-FFF2-40B4-BE49-F238E27FC236}">
              <a16:creationId xmlns:a16="http://schemas.microsoft.com/office/drawing/2014/main" id="{00000000-0008-0000-0700-0000D7000000}"/>
            </a:ext>
          </a:extLst>
        </xdr:cNvPr>
        <xdr:cNvCxnSpPr/>
      </xdr:nvCxnSpPr>
      <xdr:spPr>
        <a:xfrm rot="3780000" flipV="1">
          <a:off x="17071182" y="819149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26268</xdr:colOff>
      <xdr:row>2</xdr:row>
      <xdr:rowOff>166612</xdr:rowOff>
    </xdr:from>
    <xdr:to>
      <xdr:col>29</xdr:col>
      <xdr:colOff>26268</xdr:colOff>
      <xdr:row>4</xdr:row>
      <xdr:rowOff>109612</xdr:rowOff>
    </xdr:to>
    <xdr:cxnSp macro="">
      <xdr:nvCxnSpPr>
        <xdr:cNvPr id="216" name="Düz Bağlayıcı 215">
          <a:extLst>
            <a:ext uri="{FF2B5EF4-FFF2-40B4-BE49-F238E27FC236}">
              <a16:creationId xmlns:a16="http://schemas.microsoft.com/office/drawing/2014/main" id="{00000000-0008-0000-0700-0000D8000000}"/>
            </a:ext>
          </a:extLst>
        </xdr:cNvPr>
        <xdr:cNvCxnSpPr/>
      </xdr:nvCxnSpPr>
      <xdr:spPr>
        <a:xfrm rot="5340000" flipV="1">
          <a:off x="17473612" y="709612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416793</xdr:colOff>
      <xdr:row>3</xdr:row>
      <xdr:rowOff>33262</xdr:rowOff>
    </xdr:from>
    <xdr:to>
      <xdr:col>29</xdr:col>
      <xdr:colOff>416793</xdr:colOff>
      <xdr:row>4</xdr:row>
      <xdr:rowOff>166762</xdr:rowOff>
    </xdr:to>
    <xdr:cxnSp macro="">
      <xdr:nvCxnSpPr>
        <xdr:cNvPr id="217" name="Düz Bağlayıcı 216">
          <a:extLst>
            <a:ext uri="{FF2B5EF4-FFF2-40B4-BE49-F238E27FC236}">
              <a16:creationId xmlns:a16="http://schemas.microsoft.com/office/drawing/2014/main" id="{00000000-0008-0000-0700-0000D9000000}"/>
            </a:ext>
          </a:extLst>
        </xdr:cNvPr>
        <xdr:cNvCxnSpPr/>
      </xdr:nvCxnSpPr>
      <xdr:spPr>
        <a:xfrm rot="-4260000" flipV="1">
          <a:off x="17864137" y="766762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164381</xdr:colOff>
      <xdr:row>4</xdr:row>
      <xdr:rowOff>54691</xdr:rowOff>
    </xdr:from>
    <xdr:to>
      <xdr:col>30</xdr:col>
      <xdr:colOff>164381</xdr:colOff>
      <xdr:row>5</xdr:row>
      <xdr:rowOff>188191</xdr:rowOff>
    </xdr:to>
    <xdr:cxnSp macro="">
      <xdr:nvCxnSpPr>
        <xdr:cNvPr id="218" name="Düz Bağlayıcı 217">
          <a:extLst>
            <a:ext uri="{FF2B5EF4-FFF2-40B4-BE49-F238E27FC236}">
              <a16:creationId xmlns:a16="http://schemas.microsoft.com/office/drawing/2014/main" id="{00000000-0008-0000-0700-0000DA000000}"/>
            </a:ext>
          </a:extLst>
        </xdr:cNvPr>
        <xdr:cNvCxnSpPr/>
      </xdr:nvCxnSpPr>
      <xdr:spPr>
        <a:xfrm rot="-2820000" flipV="1">
          <a:off x="18218944" y="978691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250032</xdr:colOff>
      <xdr:row>6</xdr:row>
      <xdr:rowOff>107155</xdr:rowOff>
    </xdr:from>
    <xdr:to>
      <xdr:col>30</xdr:col>
      <xdr:colOff>574032</xdr:colOff>
      <xdr:row>6</xdr:row>
      <xdr:rowOff>107155</xdr:rowOff>
    </xdr:to>
    <xdr:cxnSp macro="">
      <xdr:nvCxnSpPr>
        <xdr:cNvPr id="219" name="Düz Bağlayıcı 218">
          <a:extLst>
            <a:ext uri="{FF2B5EF4-FFF2-40B4-BE49-F238E27FC236}">
              <a16:creationId xmlns:a16="http://schemas.microsoft.com/office/drawing/2014/main" id="{00000000-0008-0000-0700-0000DB000000}"/>
            </a:ext>
          </a:extLst>
        </xdr:cNvPr>
        <xdr:cNvCxnSpPr/>
      </xdr:nvCxnSpPr>
      <xdr:spPr>
        <a:xfrm rot="-2400000" flipV="1">
          <a:off x="18466595" y="1250155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414338</xdr:colOff>
      <xdr:row>8</xdr:row>
      <xdr:rowOff>69057</xdr:rowOff>
    </xdr:from>
    <xdr:to>
      <xdr:col>31</xdr:col>
      <xdr:colOff>131120</xdr:colOff>
      <xdr:row>8</xdr:row>
      <xdr:rowOff>69057</xdr:rowOff>
    </xdr:to>
    <xdr:cxnSp macro="">
      <xdr:nvCxnSpPr>
        <xdr:cNvPr id="220" name="Düz Bağlayıcı 219">
          <a:extLst>
            <a:ext uri="{FF2B5EF4-FFF2-40B4-BE49-F238E27FC236}">
              <a16:creationId xmlns:a16="http://schemas.microsoft.com/office/drawing/2014/main" id="{00000000-0008-0000-0700-0000DC000000}"/>
            </a:ext>
          </a:extLst>
        </xdr:cNvPr>
        <xdr:cNvCxnSpPr/>
      </xdr:nvCxnSpPr>
      <xdr:spPr>
        <a:xfrm rot="-1680000" flipV="1">
          <a:off x="18630901" y="1593057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471487</xdr:colOff>
      <xdr:row>10</xdr:row>
      <xdr:rowOff>114300</xdr:rowOff>
    </xdr:from>
    <xdr:to>
      <xdr:col>31</xdr:col>
      <xdr:colOff>188269</xdr:colOff>
      <xdr:row>10</xdr:row>
      <xdr:rowOff>114300</xdr:rowOff>
    </xdr:to>
    <xdr:cxnSp macro="">
      <xdr:nvCxnSpPr>
        <xdr:cNvPr id="221" name="Düz Bağlayıcı 220">
          <a:extLst>
            <a:ext uri="{FF2B5EF4-FFF2-40B4-BE49-F238E27FC236}">
              <a16:creationId xmlns:a16="http://schemas.microsoft.com/office/drawing/2014/main" id="{00000000-0008-0000-0700-0000DD000000}"/>
            </a:ext>
          </a:extLst>
        </xdr:cNvPr>
        <xdr:cNvCxnSpPr/>
      </xdr:nvCxnSpPr>
      <xdr:spPr>
        <a:xfrm flipV="1">
          <a:off x="18688050" y="2019300"/>
          <a:ext cx="324000" cy="0"/>
        </a:xfrm>
        <a:prstGeom prst="line">
          <a:avLst/>
        </a:prstGeom>
        <a:ln>
          <a:solidFill>
            <a:srgbClr val="FFFF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11906</xdr:colOff>
      <xdr:row>9</xdr:row>
      <xdr:rowOff>23812</xdr:rowOff>
    </xdr:from>
    <xdr:to>
      <xdr:col>27</xdr:col>
      <xdr:colOff>209551</xdr:colOff>
      <xdr:row>10</xdr:row>
      <xdr:rowOff>88107</xdr:rowOff>
    </xdr:to>
    <xdr:grpSp>
      <xdr:nvGrpSpPr>
        <xdr:cNvPr id="225" name="Grup 224">
          <a:extLst>
            <a:ext uri="{FF2B5EF4-FFF2-40B4-BE49-F238E27FC236}">
              <a16:creationId xmlns:a16="http://schemas.microsoft.com/office/drawing/2014/main" id="{00000000-0008-0000-0700-0000E1000000}"/>
            </a:ext>
          </a:extLst>
        </xdr:cNvPr>
        <xdr:cNvGrpSpPr/>
      </xdr:nvGrpSpPr>
      <xdr:grpSpPr>
        <a:xfrm>
          <a:off x="16406812" y="1738312"/>
          <a:ext cx="197645" cy="254795"/>
          <a:chOff x="5762624" y="2102643"/>
          <a:chExt cx="197645" cy="254795"/>
        </a:xfrm>
      </xdr:grpSpPr>
      <xdr:cxnSp macro="">
        <xdr:nvCxnSpPr>
          <xdr:cNvPr id="226" name="Düz Bağlayıcı 225">
            <a:extLst>
              <a:ext uri="{FF2B5EF4-FFF2-40B4-BE49-F238E27FC236}">
                <a16:creationId xmlns:a16="http://schemas.microsoft.com/office/drawing/2014/main" id="{00000000-0008-0000-0700-0000E2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27" name="Düz Bağlayıcı 226">
            <a:extLst>
              <a:ext uri="{FF2B5EF4-FFF2-40B4-BE49-F238E27FC236}">
                <a16:creationId xmlns:a16="http://schemas.microsoft.com/office/drawing/2014/main" id="{00000000-0008-0000-0700-0000E3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28" name="Düz Bağlayıcı 227">
            <a:extLst>
              <a:ext uri="{FF2B5EF4-FFF2-40B4-BE49-F238E27FC236}">
                <a16:creationId xmlns:a16="http://schemas.microsoft.com/office/drawing/2014/main" id="{00000000-0008-0000-0700-0000E4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29" name="Düz Bağlayıcı 228">
            <a:extLst>
              <a:ext uri="{FF2B5EF4-FFF2-40B4-BE49-F238E27FC236}">
                <a16:creationId xmlns:a16="http://schemas.microsoft.com/office/drawing/2014/main" id="{00000000-0008-0000-0700-0000E5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104776</xdr:colOff>
      <xdr:row>7</xdr:row>
      <xdr:rowOff>45244</xdr:rowOff>
    </xdr:from>
    <xdr:to>
      <xdr:col>27</xdr:col>
      <xdr:colOff>302421</xdr:colOff>
      <xdr:row>8</xdr:row>
      <xdr:rowOff>109539</xdr:rowOff>
    </xdr:to>
    <xdr:grpSp>
      <xdr:nvGrpSpPr>
        <xdr:cNvPr id="230" name="Grup 229">
          <a:extLst>
            <a:ext uri="{FF2B5EF4-FFF2-40B4-BE49-F238E27FC236}">
              <a16:creationId xmlns:a16="http://schemas.microsoft.com/office/drawing/2014/main" id="{00000000-0008-0000-0700-0000E6000000}"/>
            </a:ext>
          </a:extLst>
        </xdr:cNvPr>
        <xdr:cNvGrpSpPr/>
      </xdr:nvGrpSpPr>
      <xdr:grpSpPr>
        <a:xfrm rot="900600">
          <a:off x="16499682" y="1378744"/>
          <a:ext cx="197645" cy="254795"/>
          <a:chOff x="5762624" y="2102643"/>
          <a:chExt cx="197645" cy="254795"/>
        </a:xfrm>
      </xdr:grpSpPr>
      <xdr:cxnSp macro="">
        <xdr:nvCxnSpPr>
          <xdr:cNvPr id="231" name="Düz Bağlayıcı 230">
            <a:extLst>
              <a:ext uri="{FF2B5EF4-FFF2-40B4-BE49-F238E27FC236}">
                <a16:creationId xmlns:a16="http://schemas.microsoft.com/office/drawing/2014/main" id="{00000000-0008-0000-0700-0000E7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2" name="Düz Bağlayıcı 231">
            <a:extLst>
              <a:ext uri="{FF2B5EF4-FFF2-40B4-BE49-F238E27FC236}">
                <a16:creationId xmlns:a16="http://schemas.microsoft.com/office/drawing/2014/main" id="{00000000-0008-0000-0700-0000E8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3" name="Düz Bağlayıcı 232">
            <a:extLst>
              <a:ext uri="{FF2B5EF4-FFF2-40B4-BE49-F238E27FC236}">
                <a16:creationId xmlns:a16="http://schemas.microsoft.com/office/drawing/2014/main" id="{00000000-0008-0000-0700-0000E9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4" name="Düz Bağlayıcı 233">
            <a:extLst>
              <a:ext uri="{FF2B5EF4-FFF2-40B4-BE49-F238E27FC236}">
                <a16:creationId xmlns:a16="http://schemas.microsoft.com/office/drawing/2014/main" id="{00000000-0008-0000-0700-0000EA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280988</xdr:colOff>
      <xdr:row>5</xdr:row>
      <xdr:rowOff>90486</xdr:rowOff>
    </xdr:from>
    <xdr:to>
      <xdr:col>27</xdr:col>
      <xdr:colOff>478633</xdr:colOff>
      <xdr:row>6</xdr:row>
      <xdr:rowOff>154781</xdr:rowOff>
    </xdr:to>
    <xdr:grpSp>
      <xdr:nvGrpSpPr>
        <xdr:cNvPr id="235" name="Grup 234">
          <a:extLst>
            <a:ext uri="{FF2B5EF4-FFF2-40B4-BE49-F238E27FC236}">
              <a16:creationId xmlns:a16="http://schemas.microsoft.com/office/drawing/2014/main" id="{00000000-0008-0000-0700-0000EB000000}"/>
            </a:ext>
          </a:extLst>
        </xdr:cNvPr>
        <xdr:cNvGrpSpPr/>
      </xdr:nvGrpSpPr>
      <xdr:grpSpPr>
        <a:xfrm rot="2393496">
          <a:off x="16675894" y="1042986"/>
          <a:ext cx="197645" cy="254795"/>
          <a:chOff x="5762624" y="2102643"/>
          <a:chExt cx="197645" cy="254795"/>
        </a:xfrm>
      </xdr:grpSpPr>
      <xdr:cxnSp macro="">
        <xdr:nvCxnSpPr>
          <xdr:cNvPr id="236" name="Düz Bağlayıcı 235">
            <a:extLst>
              <a:ext uri="{FF2B5EF4-FFF2-40B4-BE49-F238E27FC236}">
                <a16:creationId xmlns:a16="http://schemas.microsoft.com/office/drawing/2014/main" id="{00000000-0008-0000-0700-0000EC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7" name="Düz Bağlayıcı 236">
            <a:extLst>
              <a:ext uri="{FF2B5EF4-FFF2-40B4-BE49-F238E27FC236}">
                <a16:creationId xmlns:a16="http://schemas.microsoft.com/office/drawing/2014/main" id="{00000000-0008-0000-0700-0000ED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8" name="Düz Bağlayıcı 237">
            <a:extLst>
              <a:ext uri="{FF2B5EF4-FFF2-40B4-BE49-F238E27FC236}">
                <a16:creationId xmlns:a16="http://schemas.microsoft.com/office/drawing/2014/main" id="{00000000-0008-0000-0700-0000EE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9" name="Düz Bağlayıcı 238">
            <a:extLst>
              <a:ext uri="{FF2B5EF4-FFF2-40B4-BE49-F238E27FC236}">
                <a16:creationId xmlns:a16="http://schemas.microsoft.com/office/drawing/2014/main" id="{00000000-0008-0000-0700-0000EF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547688</xdr:colOff>
      <xdr:row>4</xdr:row>
      <xdr:rowOff>33338</xdr:rowOff>
    </xdr:from>
    <xdr:to>
      <xdr:col>28</xdr:col>
      <xdr:colOff>195264</xdr:colOff>
      <xdr:row>5</xdr:row>
      <xdr:rowOff>40483</xdr:rowOff>
    </xdr:to>
    <xdr:grpSp>
      <xdr:nvGrpSpPr>
        <xdr:cNvPr id="240" name="Grup 239">
          <a:extLst>
            <a:ext uri="{FF2B5EF4-FFF2-40B4-BE49-F238E27FC236}">
              <a16:creationId xmlns:a16="http://schemas.microsoft.com/office/drawing/2014/main" id="{00000000-0008-0000-0700-0000F0000000}"/>
            </a:ext>
          </a:extLst>
        </xdr:cNvPr>
        <xdr:cNvGrpSpPr/>
      </xdr:nvGrpSpPr>
      <xdr:grpSpPr>
        <a:xfrm rot="3370130">
          <a:off x="16971169" y="766763"/>
          <a:ext cx="197645" cy="254795"/>
          <a:chOff x="5762624" y="2102643"/>
          <a:chExt cx="197645" cy="254795"/>
        </a:xfrm>
      </xdr:grpSpPr>
      <xdr:cxnSp macro="">
        <xdr:nvCxnSpPr>
          <xdr:cNvPr id="241" name="Düz Bağlayıcı 240">
            <a:extLst>
              <a:ext uri="{FF2B5EF4-FFF2-40B4-BE49-F238E27FC236}">
                <a16:creationId xmlns:a16="http://schemas.microsoft.com/office/drawing/2014/main" id="{00000000-0008-0000-0700-0000F1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42" name="Düz Bağlayıcı 241">
            <a:extLst>
              <a:ext uri="{FF2B5EF4-FFF2-40B4-BE49-F238E27FC236}">
                <a16:creationId xmlns:a16="http://schemas.microsoft.com/office/drawing/2014/main" id="{00000000-0008-0000-0700-0000F2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43" name="Düz Bağlayıcı 242">
            <a:extLst>
              <a:ext uri="{FF2B5EF4-FFF2-40B4-BE49-F238E27FC236}">
                <a16:creationId xmlns:a16="http://schemas.microsoft.com/office/drawing/2014/main" id="{00000000-0008-0000-0700-0000F3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44" name="Düz Bağlayıcı 243">
            <a:extLst>
              <a:ext uri="{FF2B5EF4-FFF2-40B4-BE49-F238E27FC236}">
                <a16:creationId xmlns:a16="http://schemas.microsoft.com/office/drawing/2014/main" id="{00000000-0008-0000-0700-0000F4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295277</xdr:colOff>
      <xdr:row>3</xdr:row>
      <xdr:rowOff>78583</xdr:rowOff>
    </xdr:from>
    <xdr:to>
      <xdr:col>28</xdr:col>
      <xdr:colOff>550072</xdr:colOff>
      <xdr:row>4</xdr:row>
      <xdr:rowOff>85728</xdr:rowOff>
    </xdr:to>
    <xdr:grpSp>
      <xdr:nvGrpSpPr>
        <xdr:cNvPr id="245" name="Grup 244">
          <a:extLst>
            <a:ext uri="{FF2B5EF4-FFF2-40B4-BE49-F238E27FC236}">
              <a16:creationId xmlns:a16="http://schemas.microsoft.com/office/drawing/2014/main" id="{00000000-0008-0000-0700-0000F5000000}"/>
            </a:ext>
          </a:extLst>
        </xdr:cNvPr>
        <xdr:cNvGrpSpPr/>
      </xdr:nvGrpSpPr>
      <xdr:grpSpPr>
        <a:xfrm rot="4267686">
          <a:off x="17325977" y="621508"/>
          <a:ext cx="197645" cy="254795"/>
          <a:chOff x="5762624" y="2102643"/>
          <a:chExt cx="197645" cy="254795"/>
        </a:xfrm>
      </xdr:grpSpPr>
      <xdr:cxnSp macro="">
        <xdr:nvCxnSpPr>
          <xdr:cNvPr id="246" name="Düz Bağlayıcı 245">
            <a:extLst>
              <a:ext uri="{FF2B5EF4-FFF2-40B4-BE49-F238E27FC236}">
                <a16:creationId xmlns:a16="http://schemas.microsoft.com/office/drawing/2014/main" id="{00000000-0008-0000-0700-0000F6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47" name="Düz Bağlayıcı 246">
            <a:extLst>
              <a:ext uri="{FF2B5EF4-FFF2-40B4-BE49-F238E27FC236}">
                <a16:creationId xmlns:a16="http://schemas.microsoft.com/office/drawing/2014/main" id="{00000000-0008-0000-0700-0000F7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48" name="Düz Bağlayıcı 247">
            <a:extLst>
              <a:ext uri="{FF2B5EF4-FFF2-40B4-BE49-F238E27FC236}">
                <a16:creationId xmlns:a16="http://schemas.microsoft.com/office/drawing/2014/main" id="{00000000-0008-0000-0700-0000F8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49" name="Düz Bağlayıcı 248">
            <a:extLst>
              <a:ext uri="{FF2B5EF4-FFF2-40B4-BE49-F238E27FC236}">
                <a16:creationId xmlns:a16="http://schemas.microsoft.com/office/drawing/2014/main" id="{00000000-0008-0000-0700-0000F9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126207</xdr:colOff>
      <xdr:row>3</xdr:row>
      <xdr:rowOff>64293</xdr:rowOff>
    </xdr:from>
    <xdr:to>
      <xdr:col>29</xdr:col>
      <xdr:colOff>381002</xdr:colOff>
      <xdr:row>4</xdr:row>
      <xdr:rowOff>71438</xdr:rowOff>
    </xdr:to>
    <xdr:grpSp>
      <xdr:nvGrpSpPr>
        <xdr:cNvPr id="250" name="Grup 249">
          <a:extLst>
            <a:ext uri="{FF2B5EF4-FFF2-40B4-BE49-F238E27FC236}">
              <a16:creationId xmlns:a16="http://schemas.microsoft.com/office/drawing/2014/main" id="{00000000-0008-0000-0700-0000FA000000}"/>
            </a:ext>
          </a:extLst>
        </xdr:cNvPr>
        <xdr:cNvGrpSpPr/>
      </xdr:nvGrpSpPr>
      <xdr:grpSpPr>
        <a:xfrm rot="5878030">
          <a:off x="17764126" y="607218"/>
          <a:ext cx="197645" cy="254795"/>
          <a:chOff x="5762624" y="2102643"/>
          <a:chExt cx="197645" cy="254795"/>
        </a:xfrm>
      </xdr:grpSpPr>
      <xdr:cxnSp macro="">
        <xdr:nvCxnSpPr>
          <xdr:cNvPr id="251" name="Düz Bağlayıcı 250">
            <a:extLst>
              <a:ext uri="{FF2B5EF4-FFF2-40B4-BE49-F238E27FC236}">
                <a16:creationId xmlns:a16="http://schemas.microsoft.com/office/drawing/2014/main" id="{00000000-0008-0000-0700-0000FB00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52" name="Düz Bağlayıcı 251">
            <a:extLst>
              <a:ext uri="{FF2B5EF4-FFF2-40B4-BE49-F238E27FC236}">
                <a16:creationId xmlns:a16="http://schemas.microsoft.com/office/drawing/2014/main" id="{00000000-0008-0000-0700-0000FC00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53" name="Düz Bağlayıcı 252">
            <a:extLst>
              <a:ext uri="{FF2B5EF4-FFF2-40B4-BE49-F238E27FC236}">
                <a16:creationId xmlns:a16="http://schemas.microsoft.com/office/drawing/2014/main" id="{00000000-0008-0000-0700-0000FD00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54" name="Düz Bağlayıcı 253">
            <a:extLst>
              <a:ext uri="{FF2B5EF4-FFF2-40B4-BE49-F238E27FC236}">
                <a16:creationId xmlns:a16="http://schemas.microsoft.com/office/drawing/2014/main" id="{00000000-0008-0000-0700-0000FE00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516731</xdr:colOff>
      <xdr:row>4</xdr:row>
      <xdr:rowOff>14287</xdr:rowOff>
    </xdr:from>
    <xdr:to>
      <xdr:col>30</xdr:col>
      <xdr:colOff>164307</xdr:colOff>
      <xdr:row>5</xdr:row>
      <xdr:rowOff>21432</xdr:rowOff>
    </xdr:to>
    <xdr:grpSp>
      <xdr:nvGrpSpPr>
        <xdr:cNvPr id="255" name="Grup 254">
          <a:extLst>
            <a:ext uri="{FF2B5EF4-FFF2-40B4-BE49-F238E27FC236}">
              <a16:creationId xmlns:a16="http://schemas.microsoft.com/office/drawing/2014/main" id="{00000000-0008-0000-0700-0000FF000000}"/>
            </a:ext>
          </a:extLst>
        </xdr:cNvPr>
        <xdr:cNvGrpSpPr/>
      </xdr:nvGrpSpPr>
      <xdr:grpSpPr>
        <a:xfrm rot="7246431">
          <a:off x="18154650" y="747712"/>
          <a:ext cx="197645" cy="254795"/>
          <a:chOff x="5762624" y="2102643"/>
          <a:chExt cx="197645" cy="254795"/>
        </a:xfrm>
      </xdr:grpSpPr>
      <xdr:cxnSp macro="">
        <xdr:nvCxnSpPr>
          <xdr:cNvPr id="256" name="Düz Bağlayıcı 255">
            <a:extLst>
              <a:ext uri="{FF2B5EF4-FFF2-40B4-BE49-F238E27FC236}">
                <a16:creationId xmlns:a16="http://schemas.microsoft.com/office/drawing/2014/main" id="{00000000-0008-0000-0700-00000001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57" name="Düz Bağlayıcı 256">
            <a:extLst>
              <a:ext uri="{FF2B5EF4-FFF2-40B4-BE49-F238E27FC236}">
                <a16:creationId xmlns:a16="http://schemas.microsoft.com/office/drawing/2014/main" id="{00000000-0008-0000-0700-00000101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58" name="Düz Bağlayıcı 257">
            <a:extLst>
              <a:ext uri="{FF2B5EF4-FFF2-40B4-BE49-F238E27FC236}">
                <a16:creationId xmlns:a16="http://schemas.microsoft.com/office/drawing/2014/main" id="{00000000-0008-0000-0700-00000201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59" name="Düz Bağlayıcı 258">
            <a:extLst>
              <a:ext uri="{FF2B5EF4-FFF2-40B4-BE49-F238E27FC236}">
                <a16:creationId xmlns:a16="http://schemas.microsoft.com/office/drawing/2014/main" id="{00000000-0008-0000-0700-00000301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204787</xdr:colOff>
      <xdr:row>5</xdr:row>
      <xdr:rowOff>59531</xdr:rowOff>
    </xdr:from>
    <xdr:to>
      <xdr:col>30</xdr:col>
      <xdr:colOff>459582</xdr:colOff>
      <xdr:row>6</xdr:row>
      <xdr:rowOff>66676</xdr:rowOff>
    </xdr:to>
    <xdr:grpSp>
      <xdr:nvGrpSpPr>
        <xdr:cNvPr id="260" name="Grup 259">
          <a:extLst>
            <a:ext uri="{FF2B5EF4-FFF2-40B4-BE49-F238E27FC236}">
              <a16:creationId xmlns:a16="http://schemas.microsoft.com/office/drawing/2014/main" id="{00000000-0008-0000-0700-000004010000}"/>
            </a:ext>
          </a:extLst>
        </xdr:cNvPr>
        <xdr:cNvGrpSpPr/>
      </xdr:nvGrpSpPr>
      <xdr:grpSpPr>
        <a:xfrm rot="18724517">
          <a:off x="18449925" y="983456"/>
          <a:ext cx="197645" cy="254795"/>
          <a:chOff x="5762624" y="2102643"/>
          <a:chExt cx="197645" cy="254795"/>
        </a:xfrm>
      </xdr:grpSpPr>
      <xdr:cxnSp macro="">
        <xdr:nvCxnSpPr>
          <xdr:cNvPr id="261" name="Düz Bağlayıcı 260">
            <a:extLst>
              <a:ext uri="{FF2B5EF4-FFF2-40B4-BE49-F238E27FC236}">
                <a16:creationId xmlns:a16="http://schemas.microsoft.com/office/drawing/2014/main" id="{00000000-0008-0000-0700-00000501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62" name="Düz Bağlayıcı 261">
            <a:extLst>
              <a:ext uri="{FF2B5EF4-FFF2-40B4-BE49-F238E27FC236}">
                <a16:creationId xmlns:a16="http://schemas.microsoft.com/office/drawing/2014/main" id="{00000000-0008-0000-0700-00000601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63" name="Düz Bağlayıcı 262">
            <a:extLst>
              <a:ext uri="{FF2B5EF4-FFF2-40B4-BE49-F238E27FC236}">
                <a16:creationId xmlns:a16="http://schemas.microsoft.com/office/drawing/2014/main" id="{00000000-0008-0000-0700-00000701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64" name="Düz Bağlayıcı 263">
            <a:extLst>
              <a:ext uri="{FF2B5EF4-FFF2-40B4-BE49-F238E27FC236}">
                <a16:creationId xmlns:a16="http://schemas.microsoft.com/office/drawing/2014/main" id="{00000000-0008-0000-0700-00000801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421481</xdr:colOff>
      <xdr:row>6</xdr:row>
      <xdr:rowOff>171450</xdr:rowOff>
    </xdr:from>
    <xdr:to>
      <xdr:col>31</xdr:col>
      <xdr:colOff>11908</xdr:colOff>
      <xdr:row>8</xdr:row>
      <xdr:rowOff>45245</xdr:rowOff>
    </xdr:to>
    <xdr:grpSp>
      <xdr:nvGrpSpPr>
        <xdr:cNvPr id="265" name="Grup 264">
          <a:extLst>
            <a:ext uri="{FF2B5EF4-FFF2-40B4-BE49-F238E27FC236}">
              <a16:creationId xmlns:a16="http://schemas.microsoft.com/office/drawing/2014/main" id="{00000000-0008-0000-0700-000009010000}"/>
            </a:ext>
          </a:extLst>
        </xdr:cNvPr>
        <xdr:cNvGrpSpPr/>
      </xdr:nvGrpSpPr>
      <xdr:grpSpPr>
        <a:xfrm rot="19291243">
          <a:off x="18638044" y="1314450"/>
          <a:ext cx="197645" cy="254795"/>
          <a:chOff x="5762624" y="2102643"/>
          <a:chExt cx="197645" cy="254795"/>
        </a:xfrm>
      </xdr:grpSpPr>
      <xdr:cxnSp macro="">
        <xdr:nvCxnSpPr>
          <xdr:cNvPr id="266" name="Düz Bağlayıcı 265">
            <a:extLst>
              <a:ext uri="{FF2B5EF4-FFF2-40B4-BE49-F238E27FC236}">
                <a16:creationId xmlns:a16="http://schemas.microsoft.com/office/drawing/2014/main" id="{00000000-0008-0000-0700-00000A01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67" name="Düz Bağlayıcı 266">
            <a:extLst>
              <a:ext uri="{FF2B5EF4-FFF2-40B4-BE49-F238E27FC236}">
                <a16:creationId xmlns:a16="http://schemas.microsoft.com/office/drawing/2014/main" id="{00000000-0008-0000-0700-00000B01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68" name="Düz Bağlayıcı 267">
            <a:extLst>
              <a:ext uri="{FF2B5EF4-FFF2-40B4-BE49-F238E27FC236}">
                <a16:creationId xmlns:a16="http://schemas.microsoft.com/office/drawing/2014/main" id="{00000000-0008-0000-0700-00000C01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69" name="Düz Bağlayıcı 268">
            <a:extLst>
              <a:ext uri="{FF2B5EF4-FFF2-40B4-BE49-F238E27FC236}">
                <a16:creationId xmlns:a16="http://schemas.microsoft.com/office/drawing/2014/main" id="{00000000-0008-0000-0700-00000D01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550069</xdr:colOff>
      <xdr:row>8</xdr:row>
      <xdr:rowOff>180975</xdr:rowOff>
    </xdr:from>
    <xdr:to>
      <xdr:col>31</xdr:col>
      <xdr:colOff>140496</xdr:colOff>
      <xdr:row>10</xdr:row>
      <xdr:rowOff>54770</xdr:rowOff>
    </xdr:to>
    <xdr:grpSp>
      <xdr:nvGrpSpPr>
        <xdr:cNvPr id="270" name="Grup 269">
          <a:extLst>
            <a:ext uri="{FF2B5EF4-FFF2-40B4-BE49-F238E27FC236}">
              <a16:creationId xmlns:a16="http://schemas.microsoft.com/office/drawing/2014/main" id="{00000000-0008-0000-0700-00000E010000}"/>
            </a:ext>
          </a:extLst>
        </xdr:cNvPr>
        <xdr:cNvGrpSpPr/>
      </xdr:nvGrpSpPr>
      <xdr:grpSpPr>
        <a:xfrm rot="20416393">
          <a:off x="18766632" y="1704975"/>
          <a:ext cx="197645" cy="254795"/>
          <a:chOff x="5762624" y="2102643"/>
          <a:chExt cx="197645" cy="254795"/>
        </a:xfrm>
      </xdr:grpSpPr>
      <xdr:cxnSp macro="">
        <xdr:nvCxnSpPr>
          <xdr:cNvPr id="271" name="Düz Bağlayıcı 270">
            <a:extLst>
              <a:ext uri="{FF2B5EF4-FFF2-40B4-BE49-F238E27FC236}">
                <a16:creationId xmlns:a16="http://schemas.microsoft.com/office/drawing/2014/main" id="{00000000-0008-0000-0700-00000F010000}"/>
              </a:ext>
            </a:extLst>
          </xdr:cNvPr>
          <xdr:cNvCxnSpPr/>
        </xdr:nvCxnSpPr>
        <xdr:spPr>
          <a:xfrm rot="780000" flipV="1">
            <a:off x="5762624" y="2321719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72" name="Düz Bağlayıcı 271">
            <a:extLst>
              <a:ext uri="{FF2B5EF4-FFF2-40B4-BE49-F238E27FC236}">
                <a16:creationId xmlns:a16="http://schemas.microsoft.com/office/drawing/2014/main" id="{00000000-0008-0000-0700-000010010000}"/>
              </a:ext>
            </a:extLst>
          </xdr:cNvPr>
          <xdr:cNvCxnSpPr/>
        </xdr:nvCxnSpPr>
        <xdr:spPr>
          <a:xfrm rot="840000" flipV="1">
            <a:off x="5774530" y="2262188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73" name="Düz Bağlayıcı 272">
            <a:extLst>
              <a:ext uri="{FF2B5EF4-FFF2-40B4-BE49-F238E27FC236}">
                <a16:creationId xmlns:a16="http://schemas.microsoft.com/office/drawing/2014/main" id="{00000000-0008-0000-0700-000011010000}"/>
              </a:ext>
            </a:extLst>
          </xdr:cNvPr>
          <xdr:cNvCxnSpPr/>
        </xdr:nvCxnSpPr>
        <xdr:spPr>
          <a:xfrm rot="960000" flipV="1">
            <a:off x="5784056" y="2176462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74" name="Düz Bağlayıcı 273">
            <a:extLst>
              <a:ext uri="{FF2B5EF4-FFF2-40B4-BE49-F238E27FC236}">
                <a16:creationId xmlns:a16="http://schemas.microsoft.com/office/drawing/2014/main" id="{00000000-0008-0000-0700-000012010000}"/>
              </a:ext>
            </a:extLst>
          </xdr:cNvPr>
          <xdr:cNvCxnSpPr/>
        </xdr:nvCxnSpPr>
        <xdr:spPr>
          <a:xfrm rot="1260000" flipV="1">
            <a:off x="5793582" y="2102643"/>
            <a:ext cx="166687" cy="35719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26</xdr:col>
      <xdr:colOff>71437</xdr:colOff>
      <xdr:row>9</xdr:row>
      <xdr:rowOff>83343</xdr:rowOff>
    </xdr:from>
    <xdr:to>
      <xdr:col>27</xdr:col>
      <xdr:colOff>23812</xdr:colOff>
      <xdr:row>11</xdr:row>
      <xdr:rowOff>119062</xdr:rowOff>
    </xdr:to>
    <xdr:sp macro="" textlink="">
      <xdr:nvSpPr>
        <xdr:cNvPr id="36" name="Metin kutusu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15859125" y="1797843"/>
          <a:ext cx="559593" cy="4167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0%</a:t>
          </a:r>
        </a:p>
      </xdr:txBody>
    </xdr:sp>
    <xdr:clientData/>
  </xdr:twoCellAnchor>
  <xdr:twoCellAnchor>
    <xdr:from>
      <xdr:col>26</xdr:col>
      <xdr:colOff>261937</xdr:colOff>
      <xdr:row>5</xdr:row>
      <xdr:rowOff>59532</xdr:rowOff>
    </xdr:from>
    <xdr:to>
      <xdr:col>27</xdr:col>
      <xdr:colOff>214312</xdr:colOff>
      <xdr:row>7</xdr:row>
      <xdr:rowOff>95251</xdr:rowOff>
    </xdr:to>
    <xdr:sp macro="" textlink="">
      <xdr:nvSpPr>
        <xdr:cNvPr id="301" name="Metin kutusu 300">
          <a:extLst>
            <a:ext uri="{FF2B5EF4-FFF2-40B4-BE49-F238E27FC236}">
              <a16:creationId xmlns:a16="http://schemas.microsoft.com/office/drawing/2014/main" id="{00000000-0008-0000-0700-00002D010000}"/>
            </a:ext>
          </a:extLst>
        </xdr:cNvPr>
        <xdr:cNvSpPr txBox="1"/>
      </xdr:nvSpPr>
      <xdr:spPr>
        <a:xfrm>
          <a:off x="16049625" y="1012032"/>
          <a:ext cx="559593" cy="4167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20%</a:t>
          </a:r>
        </a:p>
      </xdr:txBody>
    </xdr:sp>
    <xdr:clientData/>
  </xdr:twoCellAnchor>
  <xdr:twoCellAnchor>
    <xdr:from>
      <xdr:col>26</xdr:col>
      <xdr:colOff>104774</xdr:colOff>
      <xdr:row>7</xdr:row>
      <xdr:rowOff>80962</xdr:rowOff>
    </xdr:from>
    <xdr:to>
      <xdr:col>27</xdr:col>
      <xdr:colOff>57149</xdr:colOff>
      <xdr:row>9</xdr:row>
      <xdr:rowOff>116681</xdr:rowOff>
    </xdr:to>
    <xdr:sp macro="" textlink="">
      <xdr:nvSpPr>
        <xdr:cNvPr id="302" name="Metin kutusu 301">
          <a:extLst>
            <a:ext uri="{FF2B5EF4-FFF2-40B4-BE49-F238E27FC236}">
              <a16:creationId xmlns:a16="http://schemas.microsoft.com/office/drawing/2014/main" id="{00000000-0008-0000-0700-00002E010000}"/>
            </a:ext>
          </a:extLst>
        </xdr:cNvPr>
        <xdr:cNvSpPr txBox="1"/>
      </xdr:nvSpPr>
      <xdr:spPr>
        <a:xfrm>
          <a:off x="15892462" y="1414462"/>
          <a:ext cx="559593" cy="4167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10%</a:t>
          </a:r>
        </a:p>
      </xdr:txBody>
    </xdr:sp>
    <xdr:clientData/>
  </xdr:twoCellAnchor>
  <xdr:twoCellAnchor>
    <xdr:from>
      <xdr:col>27</xdr:col>
      <xdr:colOff>364332</xdr:colOff>
      <xdr:row>1</xdr:row>
      <xdr:rowOff>150019</xdr:rowOff>
    </xdr:from>
    <xdr:to>
      <xdr:col>28</xdr:col>
      <xdr:colOff>316706</xdr:colOff>
      <xdr:row>3</xdr:row>
      <xdr:rowOff>185738</xdr:rowOff>
    </xdr:to>
    <xdr:sp macro="" textlink="">
      <xdr:nvSpPr>
        <xdr:cNvPr id="303" name="Metin kutusu 302">
          <a:extLst>
            <a:ext uri="{FF2B5EF4-FFF2-40B4-BE49-F238E27FC236}">
              <a16:creationId xmlns:a16="http://schemas.microsoft.com/office/drawing/2014/main" id="{00000000-0008-0000-0700-00002F010000}"/>
            </a:ext>
          </a:extLst>
        </xdr:cNvPr>
        <xdr:cNvSpPr txBox="1"/>
      </xdr:nvSpPr>
      <xdr:spPr>
        <a:xfrm>
          <a:off x="16759238" y="340519"/>
          <a:ext cx="559593" cy="4167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40%</a:t>
          </a:r>
        </a:p>
      </xdr:txBody>
    </xdr:sp>
    <xdr:clientData/>
  </xdr:twoCellAnchor>
  <xdr:twoCellAnchor>
    <xdr:from>
      <xdr:col>26</xdr:col>
      <xdr:colOff>552450</xdr:colOff>
      <xdr:row>3</xdr:row>
      <xdr:rowOff>64294</xdr:rowOff>
    </xdr:from>
    <xdr:to>
      <xdr:col>27</xdr:col>
      <xdr:colOff>504825</xdr:colOff>
      <xdr:row>5</xdr:row>
      <xdr:rowOff>100013</xdr:rowOff>
    </xdr:to>
    <xdr:sp macro="" textlink="">
      <xdr:nvSpPr>
        <xdr:cNvPr id="304" name="Metin kutusu 303">
          <a:extLst>
            <a:ext uri="{FF2B5EF4-FFF2-40B4-BE49-F238E27FC236}">
              <a16:creationId xmlns:a16="http://schemas.microsoft.com/office/drawing/2014/main" id="{00000000-0008-0000-0700-000030010000}"/>
            </a:ext>
          </a:extLst>
        </xdr:cNvPr>
        <xdr:cNvSpPr txBox="1"/>
      </xdr:nvSpPr>
      <xdr:spPr>
        <a:xfrm>
          <a:off x="16340138" y="635794"/>
          <a:ext cx="559593" cy="4167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30%</a:t>
          </a:r>
        </a:p>
      </xdr:txBody>
    </xdr:sp>
    <xdr:clientData/>
  </xdr:twoCellAnchor>
  <xdr:twoCellAnchor>
    <xdr:from>
      <xdr:col>29</xdr:col>
      <xdr:colOff>264319</xdr:colOff>
      <xdr:row>1</xdr:row>
      <xdr:rowOff>50006</xdr:rowOff>
    </xdr:from>
    <xdr:to>
      <xdr:col>30</xdr:col>
      <xdr:colOff>216693</xdr:colOff>
      <xdr:row>3</xdr:row>
      <xdr:rowOff>85725</xdr:rowOff>
    </xdr:to>
    <xdr:sp macro="" textlink="">
      <xdr:nvSpPr>
        <xdr:cNvPr id="305" name="Metin kutusu 304">
          <a:extLst>
            <a:ext uri="{FF2B5EF4-FFF2-40B4-BE49-F238E27FC236}">
              <a16:creationId xmlns:a16="http://schemas.microsoft.com/office/drawing/2014/main" id="{00000000-0008-0000-0700-000031010000}"/>
            </a:ext>
          </a:extLst>
        </xdr:cNvPr>
        <xdr:cNvSpPr txBox="1"/>
      </xdr:nvSpPr>
      <xdr:spPr>
        <a:xfrm>
          <a:off x="17873663" y="240506"/>
          <a:ext cx="559593" cy="4167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60%</a:t>
          </a:r>
        </a:p>
      </xdr:txBody>
    </xdr:sp>
    <xdr:clientData/>
  </xdr:twoCellAnchor>
  <xdr:twoCellAnchor>
    <xdr:from>
      <xdr:col>28</xdr:col>
      <xdr:colOff>357188</xdr:colOff>
      <xdr:row>1</xdr:row>
      <xdr:rowOff>11906</xdr:rowOff>
    </xdr:from>
    <xdr:to>
      <xdr:col>29</xdr:col>
      <xdr:colOff>309562</xdr:colOff>
      <xdr:row>3</xdr:row>
      <xdr:rowOff>47625</xdr:rowOff>
    </xdr:to>
    <xdr:sp macro="" textlink="">
      <xdr:nvSpPr>
        <xdr:cNvPr id="306" name="Metin kutusu 305">
          <a:extLst>
            <a:ext uri="{FF2B5EF4-FFF2-40B4-BE49-F238E27FC236}">
              <a16:creationId xmlns:a16="http://schemas.microsoft.com/office/drawing/2014/main" id="{00000000-0008-0000-0700-000032010000}"/>
            </a:ext>
          </a:extLst>
        </xdr:cNvPr>
        <xdr:cNvSpPr txBox="1"/>
      </xdr:nvSpPr>
      <xdr:spPr>
        <a:xfrm>
          <a:off x="17359313" y="202406"/>
          <a:ext cx="559593" cy="4167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50%</a:t>
          </a:r>
        </a:p>
      </xdr:txBody>
    </xdr:sp>
    <xdr:clientData/>
  </xdr:twoCellAnchor>
  <xdr:twoCellAnchor>
    <xdr:from>
      <xdr:col>30</xdr:col>
      <xdr:colOff>497681</xdr:colOff>
      <xdr:row>4</xdr:row>
      <xdr:rowOff>128588</xdr:rowOff>
    </xdr:from>
    <xdr:to>
      <xdr:col>31</xdr:col>
      <xdr:colOff>450056</xdr:colOff>
      <xdr:row>6</xdr:row>
      <xdr:rowOff>164307</xdr:rowOff>
    </xdr:to>
    <xdr:sp macro="" textlink="">
      <xdr:nvSpPr>
        <xdr:cNvPr id="307" name="Metin kutusu 306">
          <a:extLst>
            <a:ext uri="{FF2B5EF4-FFF2-40B4-BE49-F238E27FC236}">
              <a16:creationId xmlns:a16="http://schemas.microsoft.com/office/drawing/2014/main" id="{00000000-0008-0000-0700-000033010000}"/>
            </a:ext>
          </a:extLst>
        </xdr:cNvPr>
        <xdr:cNvSpPr txBox="1"/>
      </xdr:nvSpPr>
      <xdr:spPr>
        <a:xfrm>
          <a:off x="18714244" y="890588"/>
          <a:ext cx="559593" cy="4167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80%</a:t>
          </a:r>
        </a:p>
      </xdr:txBody>
    </xdr:sp>
    <xdr:clientData/>
  </xdr:twoCellAnchor>
  <xdr:twoCellAnchor>
    <xdr:from>
      <xdr:col>30</xdr:col>
      <xdr:colOff>161925</xdr:colOff>
      <xdr:row>2</xdr:row>
      <xdr:rowOff>173831</xdr:rowOff>
    </xdr:from>
    <xdr:to>
      <xdr:col>31</xdr:col>
      <xdr:colOff>114300</xdr:colOff>
      <xdr:row>5</xdr:row>
      <xdr:rowOff>19050</xdr:rowOff>
    </xdr:to>
    <xdr:sp macro="" textlink="">
      <xdr:nvSpPr>
        <xdr:cNvPr id="308" name="Metin kutusu 307">
          <a:extLst>
            <a:ext uri="{FF2B5EF4-FFF2-40B4-BE49-F238E27FC236}">
              <a16:creationId xmlns:a16="http://schemas.microsoft.com/office/drawing/2014/main" id="{00000000-0008-0000-0700-000034010000}"/>
            </a:ext>
          </a:extLst>
        </xdr:cNvPr>
        <xdr:cNvSpPr txBox="1"/>
      </xdr:nvSpPr>
      <xdr:spPr>
        <a:xfrm>
          <a:off x="18378488" y="554831"/>
          <a:ext cx="559593" cy="4167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70%</a:t>
          </a:r>
        </a:p>
      </xdr:txBody>
    </xdr:sp>
    <xdr:clientData/>
  </xdr:twoCellAnchor>
  <xdr:twoCellAnchor>
    <xdr:from>
      <xdr:col>31</xdr:col>
      <xdr:colOff>123826</xdr:colOff>
      <xdr:row>9</xdr:row>
      <xdr:rowOff>64294</xdr:rowOff>
    </xdr:from>
    <xdr:to>
      <xdr:col>32</xdr:col>
      <xdr:colOff>76200</xdr:colOff>
      <xdr:row>11</xdr:row>
      <xdr:rowOff>100013</xdr:rowOff>
    </xdr:to>
    <xdr:sp macro="" textlink="">
      <xdr:nvSpPr>
        <xdr:cNvPr id="309" name="Metin kutusu 308">
          <a:extLst>
            <a:ext uri="{FF2B5EF4-FFF2-40B4-BE49-F238E27FC236}">
              <a16:creationId xmlns:a16="http://schemas.microsoft.com/office/drawing/2014/main" id="{00000000-0008-0000-0700-000035010000}"/>
            </a:ext>
          </a:extLst>
        </xdr:cNvPr>
        <xdr:cNvSpPr txBox="1"/>
      </xdr:nvSpPr>
      <xdr:spPr>
        <a:xfrm>
          <a:off x="18947607" y="1778794"/>
          <a:ext cx="559593" cy="4167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100%</a:t>
          </a:r>
        </a:p>
      </xdr:txBody>
    </xdr:sp>
    <xdr:clientData/>
  </xdr:twoCellAnchor>
  <xdr:twoCellAnchor>
    <xdr:from>
      <xdr:col>31</xdr:col>
      <xdr:colOff>61913</xdr:colOff>
      <xdr:row>6</xdr:row>
      <xdr:rowOff>157163</xdr:rowOff>
    </xdr:from>
    <xdr:to>
      <xdr:col>32</xdr:col>
      <xdr:colOff>14287</xdr:colOff>
      <xdr:row>9</xdr:row>
      <xdr:rowOff>2382</xdr:rowOff>
    </xdr:to>
    <xdr:sp macro="" textlink="">
      <xdr:nvSpPr>
        <xdr:cNvPr id="310" name="Metin kutusu 309">
          <a:extLst>
            <a:ext uri="{FF2B5EF4-FFF2-40B4-BE49-F238E27FC236}">
              <a16:creationId xmlns:a16="http://schemas.microsoft.com/office/drawing/2014/main" id="{00000000-0008-0000-0700-000036010000}"/>
            </a:ext>
          </a:extLst>
        </xdr:cNvPr>
        <xdr:cNvSpPr txBox="1"/>
      </xdr:nvSpPr>
      <xdr:spPr>
        <a:xfrm>
          <a:off x="18885694" y="1300163"/>
          <a:ext cx="559593" cy="4167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1100" b="1"/>
            <a:t>90%</a:t>
          </a:r>
        </a:p>
      </xdr:txBody>
    </xdr:sp>
    <xdr:clientData/>
  </xdr:twoCellAnchor>
  <xdr:twoCellAnchor>
    <xdr:from>
      <xdr:col>4</xdr:col>
      <xdr:colOff>107157</xdr:colOff>
      <xdr:row>11</xdr:row>
      <xdr:rowOff>119063</xdr:rowOff>
    </xdr:from>
    <xdr:to>
      <xdr:col>7</xdr:col>
      <xdr:colOff>178595</xdr:colOff>
      <xdr:row>13</xdr:row>
      <xdr:rowOff>95250</xdr:rowOff>
    </xdr:to>
    <xdr:sp macro="" textlink="">
      <xdr:nvSpPr>
        <xdr:cNvPr id="313" name="Çerçeve 312">
          <a:extLst>
            <a:ext uri="{FF2B5EF4-FFF2-40B4-BE49-F238E27FC236}">
              <a16:creationId xmlns:a16="http://schemas.microsoft.com/office/drawing/2014/main" id="{00000000-0008-0000-0700-000039010000}"/>
            </a:ext>
          </a:extLst>
        </xdr:cNvPr>
        <xdr:cNvSpPr/>
      </xdr:nvSpPr>
      <xdr:spPr>
        <a:xfrm>
          <a:off x="2536032" y="2214563"/>
          <a:ext cx="1893094" cy="357187"/>
        </a:xfrm>
        <a:prstGeom prst="fram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C000"/>
              </a:solidFill>
              <a:latin typeface="Rockwell Extra Bold" panose="02060903040505020403" pitchFamily="18" charset="0"/>
            </a:rPr>
            <a:t>PERSONEL SEÇİNİZ</a:t>
          </a:r>
        </a:p>
      </xdr:txBody>
    </xdr:sp>
    <xdr:clientData/>
  </xdr:twoCellAnchor>
  <xdr:twoCellAnchor>
    <xdr:from>
      <xdr:col>8</xdr:col>
      <xdr:colOff>273846</xdr:colOff>
      <xdr:row>27</xdr:row>
      <xdr:rowOff>142874</xdr:rowOff>
    </xdr:from>
    <xdr:to>
      <xdr:col>34</xdr:col>
      <xdr:colOff>523876</xdr:colOff>
      <xdr:row>51</xdr:row>
      <xdr:rowOff>166685</xdr:rowOff>
    </xdr:to>
    <xdr:graphicFrame macro="">
      <xdr:nvGraphicFramePr>
        <xdr:cNvPr id="37" name="Grafik 36">
          <a:extLst>
            <a:ext uri="{FF2B5EF4-FFF2-40B4-BE49-F238E27FC236}">
              <a16:creationId xmlns:a16="http://schemas.microsoft.com/office/drawing/2014/main" id="{238ECE24-06A2-4CAF-B7E9-436658F2D1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583406</xdr:colOff>
      <xdr:row>42</xdr:row>
      <xdr:rowOff>166689</xdr:rowOff>
    </xdr:from>
    <xdr:to>
      <xdr:col>13</xdr:col>
      <xdr:colOff>500062</xdr:colOff>
      <xdr:row>46</xdr:row>
      <xdr:rowOff>59532</xdr:rowOff>
    </xdr:to>
    <xdr:sp macro="" textlink="$E$24">
      <xdr:nvSpPr>
        <xdr:cNvPr id="48" name="Metin kutusu 47">
          <a:extLst>
            <a:ext uri="{FF2B5EF4-FFF2-40B4-BE49-F238E27FC236}">
              <a16:creationId xmlns:a16="http://schemas.microsoft.com/office/drawing/2014/main" id="{F1CF8731-11EF-43C3-B150-A916812A20E0}"/>
            </a:ext>
          </a:extLst>
        </xdr:cNvPr>
        <xdr:cNvSpPr txBox="1"/>
      </xdr:nvSpPr>
      <xdr:spPr>
        <a:xfrm>
          <a:off x="7262812" y="8167689"/>
          <a:ext cx="1131094" cy="654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ADB3E1-32CB-4DC6-B091-7EA1A91C39A3}" type="TxLink">
            <a:rPr lang="en-US" sz="1400" b="1" i="0" u="none" strike="noStrike">
              <a:solidFill>
                <a:srgbClr val="000000"/>
              </a:solidFill>
              <a:latin typeface="Arial Black" panose="020B0A04020102020204" pitchFamily="34" charset="0"/>
              <a:cs typeface="Calibri"/>
            </a:rPr>
            <a:pPr algn="ctr"/>
            <a:t>1. Bölge</a:t>
          </a:fld>
          <a:endParaRPr lang="tr-TR" sz="14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20</xdr:col>
      <xdr:colOff>261937</xdr:colOff>
      <xdr:row>42</xdr:row>
      <xdr:rowOff>119062</xdr:rowOff>
    </xdr:from>
    <xdr:to>
      <xdr:col>22</xdr:col>
      <xdr:colOff>178593</xdr:colOff>
      <xdr:row>46</xdr:row>
      <xdr:rowOff>11905</xdr:rowOff>
    </xdr:to>
    <xdr:sp macro="" textlink="$E$24">
      <xdr:nvSpPr>
        <xdr:cNvPr id="284" name="Metin kutusu 283">
          <a:extLst>
            <a:ext uri="{FF2B5EF4-FFF2-40B4-BE49-F238E27FC236}">
              <a16:creationId xmlns:a16="http://schemas.microsoft.com/office/drawing/2014/main" id="{B6829FA4-66B4-4867-A229-691BE012843F}"/>
            </a:ext>
          </a:extLst>
        </xdr:cNvPr>
        <xdr:cNvSpPr txBox="1"/>
      </xdr:nvSpPr>
      <xdr:spPr>
        <a:xfrm>
          <a:off x="12406312" y="8120062"/>
          <a:ext cx="1131094" cy="654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ADB3E1-32CB-4DC6-B091-7EA1A91C39A3}" type="TxLink">
            <a:rPr lang="en-US" sz="1400" b="1" i="0" u="none" strike="noStrike">
              <a:solidFill>
                <a:srgbClr val="7030A0"/>
              </a:solidFill>
              <a:latin typeface="Arial Black" panose="020B0A04020102020204" pitchFamily="34" charset="0"/>
              <a:cs typeface="Calibri"/>
            </a:rPr>
            <a:pPr algn="ctr"/>
            <a:t>1. Bölge</a:t>
          </a:fld>
          <a:endParaRPr lang="tr-TR" sz="1400" b="1">
            <a:solidFill>
              <a:srgbClr val="7030A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28</xdr:col>
      <xdr:colOff>583407</xdr:colOff>
      <xdr:row>42</xdr:row>
      <xdr:rowOff>142874</xdr:rowOff>
    </xdr:from>
    <xdr:to>
      <xdr:col>30</xdr:col>
      <xdr:colOff>500063</xdr:colOff>
      <xdr:row>46</xdr:row>
      <xdr:rowOff>35717</xdr:rowOff>
    </xdr:to>
    <xdr:sp macro="" textlink="$E$24">
      <xdr:nvSpPr>
        <xdr:cNvPr id="285" name="Metin kutusu 284">
          <a:extLst>
            <a:ext uri="{FF2B5EF4-FFF2-40B4-BE49-F238E27FC236}">
              <a16:creationId xmlns:a16="http://schemas.microsoft.com/office/drawing/2014/main" id="{6C8101E1-B94C-495E-9B56-818BB79FB0C1}"/>
            </a:ext>
          </a:extLst>
        </xdr:cNvPr>
        <xdr:cNvSpPr txBox="1"/>
      </xdr:nvSpPr>
      <xdr:spPr>
        <a:xfrm>
          <a:off x="17585532" y="8143874"/>
          <a:ext cx="1131094" cy="654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ADB3E1-32CB-4DC6-B091-7EA1A91C39A3}" type="TxLink">
            <a:rPr lang="en-US" sz="1400" b="1" i="0" u="none" strike="noStrike">
              <a:solidFill>
                <a:schemeClr val="bg2"/>
              </a:solidFill>
              <a:latin typeface="Arial Black" panose="020B0A04020102020204" pitchFamily="34" charset="0"/>
              <a:cs typeface="Calibri"/>
            </a:rPr>
            <a:pPr algn="ctr"/>
            <a:t>1. Bölge</a:t>
          </a:fld>
          <a:endParaRPr lang="tr-TR" sz="1400" b="1">
            <a:solidFill>
              <a:schemeClr val="bg2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7</xdr:col>
      <xdr:colOff>214313</xdr:colOff>
      <xdr:row>0</xdr:row>
      <xdr:rowOff>23813</xdr:rowOff>
    </xdr:from>
    <xdr:to>
      <xdr:col>8</xdr:col>
      <xdr:colOff>521494</xdr:colOff>
      <xdr:row>4</xdr:row>
      <xdr:rowOff>176213</xdr:rowOff>
    </xdr:to>
    <xdr:pic>
      <xdr:nvPicPr>
        <xdr:cNvPr id="50" name="Grafik 49" descr="Ölçer">
          <a:extLst>
            <a:ext uri="{FF2B5EF4-FFF2-40B4-BE49-F238E27FC236}">
              <a16:creationId xmlns:a16="http://schemas.microsoft.com/office/drawing/2014/main" id="{2F1358CA-7DD8-4DBC-BF30-1F2E2C985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464844" y="23813"/>
          <a:ext cx="914400" cy="914400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xdr:twoCellAnchor editAs="oneCell">
    <xdr:from>
      <xdr:col>24</xdr:col>
      <xdr:colOff>488156</xdr:colOff>
      <xdr:row>0</xdr:row>
      <xdr:rowOff>0</xdr:rowOff>
    </xdr:from>
    <xdr:to>
      <xdr:col>26</xdr:col>
      <xdr:colOff>188118</xdr:colOff>
      <xdr:row>4</xdr:row>
      <xdr:rowOff>152400</xdr:rowOff>
    </xdr:to>
    <xdr:pic>
      <xdr:nvPicPr>
        <xdr:cNvPr id="288" name="Grafik 287" descr="Ölçer">
          <a:extLst>
            <a:ext uri="{FF2B5EF4-FFF2-40B4-BE49-F238E27FC236}">
              <a16:creationId xmlns:a16="http://schemas.microsoft.com/office/drawing/2014/main" id="{24220153-AC11-4A2B-9B55-A0B3E3F1D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061406" y="0"/>
          <a:ext cx="914400" cy="914400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xdr:twoCellAnchor editAs="oneCell">
    <xdr:from>
      <xdr:col>15</xdr:col>
      <xdr:colOff>500062</xdr:colOff>
      <xdr:row>0</xdr:row>
      <xdr:rowOff>0</xdr:rowOff>
    </xdr:from>
    <xdr:to>
      <xdr:col>17</xdr:col>
      <xdr:colOff>200024</xdr:colOff>
      <xdr:row>4</xdr:row>
      <xdr:rowOff>152400</xdr:rowOff>
    </xdr:to>
    <xdr:pic>
      <xdr:nvPicPr>
        <xdr:cNvPr id="289" name="Grafik 288" descr="Ölçer">
          <a:extLst>
            <a:ext uri="{FF2B5EF4-FFF2-40B4-BE49-F238E27FC236}">
              <a16:creationId xmlns:a16="http://schemas.microsoft.com/office/drawing/2014/main" id="{E58DC155-C15A-4CAF-9BE9-68B244428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608343" y="0"/>
          <a:ext cx="914400" cy="914400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xdr:twoCellAnchor editAs="oneCell">
    <xdr:from>
      <xdr:col>9</xdr:col>
      <xdr:colOff>107156</xdr:colOff>
      <xdr:row>30</xdr:row>
      <xdr:rowOff>178594</xdr:rowOff>
    </xdr:from>
    <xdr:to>
      <xdr:col>10</xdr:col>
      <xdr:colOff>414337</xdr:colOff>
      <xdr:row>35</xdr:row>
      <xdr:rowOff>140494</xdr:rowOff>
    </xdr:to>
    <xdr:pic>
      <xdr:nvPicPr>
        <xdr:cNvPr id="128" name="Grafik 127" descr="Kum saati">
          <a:extLst>
            <a:ext uri="{FF2B5EF4-FFF2-40B4-BE49-F238E27FC236}">
              <a16:creationId xmlns:a16="http://schemas.microsoft.com/office/drawing/2014/main" id="{A717C2A4-8397-4D6E-8CA6-81E46801B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572125" y="5893594"/>
          <a:ext cx="914400" cy="914400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xdr:twoCellAnchor editAs="oneCell">
    <xdr:from>
      <xdr:col>17</xdr:col>
      <xdr:colOff>321468</xdr:colOff>
      <xdr:row>30</xdr:row>
      <xdr:rowOff>83344</xdr:rowOff>
    </xdr:from>
    <xdr:to>
      <xdr:col>19</xdr:col>
      <xdr:colOff>21431</xdr:colOff>
      <xdr:row>35</xdr:row>
      <xdr:rowOff>45244</xdr:rowOff>
    </xdr:to>
    <xdr:pic>
      <xdr:nvPicPr>
        <xdr:cNvPr id="292" name="Grafik 291" descr="Kum saati">
          <a:extLst>
            <a:ext uri="{FF2B5EF4-FFF2-40B4-BE49-F238E27FC236}">
              <a16:creationId xmlns:a16="http://schemas.microsoft.com/office/drawing/2014/main" id="{E856BED7-643B-4D54-950B-432DD1FAE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644187" y="5798344"/>
          <a:ext cx="914400" cy="914400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xdr:twoCellAnchor editAs="oneCell">
    <xdr:from>
      <xdr:col>25</xdr:col>
      <xdr:colOff>595311</xdr:colOff>
      <xdr:row>30</xdr:row>
      <xdr:rowOff>95250</xdr:rowOff>
    </xdr:from>
    <xdr:to>
      <xdr:col>27</xdr:col>
      <xdr:colOff>295274</xdr:colOff>
      <xdr:row>35</xdr:row>
      <xdr:rowOff>57150</xdr:rowOff>
    </xdr:to>
    <xdr:pic>
      <xdr:nvPicPr>
        <xdr:cNvPr id="293" name="Grafik 292" descr="Kum saati">
          <a:extLst>
            <a:ext uri="{FF2B5EF4-FFF2-40B4-BE49-F238E27FC236}">
              <a16:creationId xmlns:a16="http://schemas.microsoft.com/office/drawing/2014/main" id="{E768F682-3B22-4FEC-B009-DE25F5735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5775780" y="5810250"/>
          <a:ext cx="914400" cy="914400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E23"/>
  <sheetViews>
    <sheetView workbookViewId="0">
      <selection activeCell="I18" sqref="I18"/>
    </sheetView>
  </sheetViews>
  <sheetFormatPr defaultRowHeight="15" x14ac:dyDescent="0.25"/>
  <cols>
    <col min="1" max="1" width="9.140625" style="5"/>
    <col min="2" max="2" width="10.85546875" style="5" bestFit="1" customWidth="1"/>
    <col min="3" max="3" width="11.5703125" style="5" bestFit="1" customWidth="1"/>
    <col min="4" max="4" width="19.85546875" style="5" bestFit="1" customWidth="1"/>
    <col min="5" max="5" width="9.140625" style="5"/>
  </cols>
  <sheetData>
    <row r="1" spans="1:5" x14ac:dyDescent="0.25">
      <c r="A1" s="5" t="s">
        <v>56</v>
      </c>
      <c r="B1" s="5" t="s">
        <v>13</v>
      </c>
      <c r="C1" s="5" t="s">
        <v>57</v>
      </c>
      <c r="D1" s="5" t="s">
        <v>58</v>
      </c>
      <c r="E1" s="5" t="s">
        <v>81</v>
      </c>
    </row>
    <row r="2" spans="1:5" x14ac:dyDescent="0.25">
      <c r="A2" s="5" t="s">
        <v>1</v>
      </c>
      <c r="B2" s="5" t="s">
        <v>14</v>
      </c>
      <c r="C2" s="5" t="s">
        <v>36</v>
      </c>
      <c r="D2" s="5" t="s">
        <v>59</v>
      </c>
      <c r="E2" s="5" t="s">
        <v>82</v>
      </c>
    </row>
    <row r="3" spans="1:5" x14ac:dyDescent="0.25">
      <c r="A3" s="5" t="s">
        <v>2</v>
      </c>
      <c r="B3" s="5" t="s">
        <v>15</v>
      </c>
      <c r="C3" s="5" t="s">
        <v>29</v>
      </c>
      <c r="D3" s="5" t="s">
        <v>60</v>
      </c>
      <c r="E3" s="5" t="s">
        <v>83</v>
      </c>
    </row>
    <row r="4" spans="1:5" x14ac:dyDescent="0.25">
      <c r="A4" s="5" t="s">
        <v>3</v>
      </c>
      <c r="B4" s="5" t="s">
        <v>16</v>
      </c>
      <c r="C4" s="5" t="s">
        <v>30</v>
      </c>
      <c r="D4" s="5" t="s">
        <v>61</v>
      </c>
      <c r="E4" s="5" t="s">
        <v>84</v>
      </c>
    </row>
    <row r="5" spans="1:5" x14ac:dyDescent="0.25">
      <c r="A5" s="5" t="s">
        <v>4</v>
      </c>
      <c r="B5" s="5" t="s">
        <v>17</v>
      </c>
      <c r="C5" s="5" t="s">
        <v>37</v>
      </c>
      <c r="D5" s="5" t="s">
        <v>62</v>
      </c>
    </row>
    <row r="6" spans="1:5" x14ac:dyDescent="0.25">
      <c r="A6" s="5" t="s">
        <v>5</v>
      </c>
      <c r="B6" s="5" t="s">
        <v>18</v>
      </c>
      <c r="C6" s="5" t="s">
        <v>38</v>
      </c>
      <c r="D6" s="5" t="s">
        <v>63</v>
      </c>
    </row>
    <row r="7" spans="1:5" x14ac:dyDescent="0.25">
      <c r="A7" s="5" t="s">
        <v>6</v>
      </c>
      <c r="B7" s="5" t="s">
        <v>19</v>
      </c>
      <c r="C7" s="5" t="s">
        <v>39</v>
      </c>
      <c r="D7" s="5" t="s">
        <v>64</v>
      </c>
    </row>
    <row r="8" spans="1:5" x14ac:dyDescent="0.25">
      <c r="A8" s="5" t="s">
        <v>7</v>
      </c>
      <c r="B8" s="5" t="s">
        <v>20</v>
      </c>
      <c r="C8" s="5" t="s">
        <v>40</v>
      </c>
      <c r="D8" s="5" t="s">
        <v>65</v>
      </c>
    </row>
    <row r="9" spans="1:5" x14ac:dyDescent="0.25">
      <c r="A9" s="5" t="s">
        <v>8</v>
      </c>
      <c r="B9" s="5" t="s">
        <v>21</v>
      </c>
      <c r="C9" s="5" t="s">
        <v>41</v>
      </c>
      <c r="D9" s="5" t="s">
        <v>66</v>
      </c>
    </row>
    <row r="10" spans="1:5" x14ac:dyDescent="0.25">
      <c r="A10" s="5" t="s">
        <v>9</v>
      </c>
      <c r="B10" s="5" t="s">
        <v>22</v>
      </c>
      <c r="C10" s="5" t="s">
        <v>42</v>
      </c>
      <c r="D10" s="5" t="s">
        <v>67</v>
      </c>
    </row>
    <row r="11" spans="1:5" x14ac:dyDescent="0.25">
      <c r="A11" s="5" t="s">
        <v>10</v>
      </c>
      <c r="B11" s="5" t="s">
        <v>23</v>
      </c>
      <c r="C11" s="5" t="s">
        <v>43</v>
      </c>
      <c r="D11" s="5" t="s">
        <v>68</v>
      </c>
    </row>
    <row r="12" spans="1:5" x14ac:dyDescent="0.25">
      <c r="A12" s="5" t="s">
        <v>11</v>
      </c>
      <c r="B12" s="5" t="s">
        <v>24</v>
      </c>
      <c r="C12" s="5" t="s">
        <v>44</v>
      </c>
      <c r="D12" s="5" t="s">
        <v>69</v>
      </c>
    </row>
    <row r="13" spans="1:5" x14ac:dyDescent="0.25">
      <c r="A13" s="5" t="s">
        <v>12</v>
      </c>
      <c r="B13" s="5" t="s">
        <v>25</v>
      </c>
      <c r="C13" s="5" t="s">
        <v>45</v>
      </c>
      <c r="D13" s="5" t="s">
        <v>70</v>
      </c>
    </row>
    <row r="14" spans="1:5" x14ac:dyDescent="0.25">
      <c r="B14" s="5" t="s">
        <v>26</v>
      </c>
      <c r="C14" s="5" t="s">
        <v>46</v>
      </c>
      <c r="D14" s="5" t="s">
        <v>71</v>
      </c>
    </row>
    <row r="15" spans="1:5" x14ac:dyDescent="0.25">
      <c r="B15" s="5" t="s">
        <v>27</v>
      </c>
      <c r="C15" s="5" t="s">
        <v>47</v>
      </c>
      <c r="D15" s="5" t="s">
        <v>72</v>
      </c>
    </row>
    <row r="16" spans="1:5" x14ac:dyDescent="0.25">
      <c r="B16" s="5" t="s">
        <v>28</v>
      </c>
      <c r="C16" s="5" t="s">
        <v>48</v>
      </c>
      <c r="D16" s="5" t="s">
        <v>73</v>
      </c>
    </row>
    <row r="17" spans="3:4" x14ac:dyDescent="0.25">
      <c r="C17" s="5" t="s">
        <v>49</v>
      </c>
      <c r="D17" s="5" t="s">
        <v>74</v>
      </c>
    </row>
    <row r="18" spans="3:4" x14ac:dyDescent="0.25">
      <c r="C18" s="5" t="s">
        <v>50</v>
      </c>
      <c r="D18" s="5" t="s">
        <v>75</v>
      </c>
    </row>
    <row r="19" spans="3:4" x14ac:dyDescent="0.25">
      <c r="C19" s="5" t="s">
        <v>51</v>
      </c>
      <c r="D19" s="5" t="s">
        <v>76</v>
      </c>
    </row>
    <row r="20" spans="3:4" x14ac:dyDescent="0.25">
      <c r="C20" s="5" t="s">
        <v>52</v>
      </c>
      <c r="D20" s="5" t="s">
        <v>77</v>
      </c>
    </row>
    <row r="21" spans="3:4" x14ac:dyDescent="0.25">
      <c r="C21" s="5" t="s">
        <v>53</v>
      </c>
      <c r="D21" s="5" t="s">
        <v>78</v>
      </c>
    </row>
    <row r="22" spans="3:4" x14ac:dyDescent="0.25">
      <c r="C22" s="5" t="s">
        <v>54</v>
      </c>
      <c r="D22" s="5" t="s">
        <v>79</v>
      </c>
    </row>
    <row r="23" spans="3:4" x14ac:dyDescent="0.25">
      <c r="C23" s="5" t="s">
        <v>55</v>
      </c>
      <c r="D23" s="5" t="s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M793"/>
  <sheetViews>
    <sheetView workbookViewId="0">
      <selection activeCell="E2" sqref="E2"/>
    </sheetView>
  </sheetViews>
  <sheetFormatPr defaultRowHeight="15" x14ac:dyDescent="0.25"/>
  <cols>
    <col min="1" max="1" width="10.85546875" style="5" bestFit="1" customWidth="1"/>
    <col min="2" max="2" width="15.42578125" style="4" bestFit="1" customWidth="1"/>
    <col min="3" max="3" width="23.42578125" style="5" customWidth="1"/>
    <col min="4" max="4" width="16.85546875" style="5" customWidth="1"/>
    <col min="5" max="5" width="18.28515625" style="5" bestFit="1" customWidth="1"/>
    <col min="6" max="6" width="11.5703125" style="5" bestFit="1" customWidth="1"/>
    <col min="7" max="7" width="19.42578125" style="5" bestFit="1" customWidth="1"/>
    <col min="8" max="8" width="12.7109375" style="5" bestFit="1" customWidth="1"/>
    <col min="9" max="9" width="13.85546875" style="5" bestFit="1" customWidth="1"/>
  </cols>
  <sheetData>
    <row r="1" spans="1:13" x14ac:dyDescent="0.25">
      <c r="A1" s="1" t="s">
        <v>31</v>
      </c>
      <c r="B1" s="2" t="s">
        <v>32</v>
      </c>
      <c r="C1" s="1" t="s">
        <v>33</v>
      </c>
      <c r="D1" s="1" t="s">
        <v>34</v>
      </c>
      <c r="E1" s="1" t="s">
        <v>85</v>
      </c>
      <c r="F1" s="1" t="s">
        <v>86</v>
      </c>
      <c r="G1" s="1" t="s">
        <v>87</v>
      </c>
      <c r="H1" s="1" t="s">
        <v>88</v>
      </c>
      <c r="I1" s="1" t="s">
        <v>0</v>
      </c>
      <c r="L1" s="1"/>
      <c r="M1" s="1"/>
    </row>
    <row r="2" spans="1:13" ht="15.75" x14ac:dyDescent="0.25">
      <c r="A2" s="3" t="s">
        <v>35</v>
      </c>
      <c r="B2" s="8" t="s">
        <v>36</v>
      </c>
      <c r="C2" s="5" t="s">
        <v>59</v>
      </c>
      <c r="D2" s="5" t="s">
        <v>82</v>
      </c>
      <c r="E2" s="5">
        <v>44</v>
      </c>
      <c r="F2" s="5">
        <v>64</v>
      </c>
      <c r="G2" s="6">
        <v>55000</v>
      </c>
      <c r="H2" s="6">
        <v>80000</v>
      </c>
      <c r="I2" s="5" t="s">
        <v>8</v>
      </c>
    </row>
    <row r="3" spans="1:13" ht="15.75" x14ac:dyDescent="0.25">
      <c r="A3" s="3" t="s">
        <v>35</v>
      </c>
      <c r="B3" s="8" t="s">
        <v>36</v>
      </c>
      <c r="C3" s="5" t="s">
        <v>59</v>
      </c>
      <c r="D3" s="5" t="s">
        <v>83</v>
      </c>
      <c r="E3" s="5">
        <v>2</v>
      </c>
      <c r="F3" s="5">
        <v>9</v>
      </c>
      <c r="G3" s="6">
        <v>17000</v>
      </c>
      <c r="H3" s="6">
        <v>76500</v>
      </c>
      <c r="I3" s="5" t="s">
        <v>8</v>
      </c>
    </row>
    <row r="4" spans="1:13" ht="15.75" x14ac:dyDescent="0.25">
      <c r="A4" s="3" t="s">
        <v>35</v>
      </c>
      <c r="B4" s="8" t="s">
        <v>36</v>
      </c>
      <c r="C4" s="5" t="s">
        <v>59</v>
      </c>
      <c r="D4" s="5" t="s">
        <v>84</v>
      </c>
      <c r="E4" s="5">
        <v>0</v>
      </c>
      <c r="F4" s="5">
        <v>5</v>
      </c>
      <c r="G4" s="6">
        <v>0</v>
      </c>
      <c r="H4" s="6">
        <v>7000</v>
      </c>
      <c r="I4" s="5" t="s">
        <v>8</v>
      </c>
    </row>
    <row r="5" spans="1:13" ht="15.75" x14ac:dyDescent="0.25">
      <c r="A5" s="3" t="s">
        <v>35</v>
      </c>
      <c r="B5" s="8" t="s">
        <v>29</v>
      </c>
      <c r="C5" s="5" t="s">
        <v>60</v>
      </c>
      <c r="D5" s="5" t="s">
        <v>82</v>
      </c>
      <c r="E5" s="5">
        <v>9</v>
      </c>
      <c r="F5" s="5">
        <v>28</v>
      </c>
      <c r="G5" s="6">
        <v>11250</v>
      </c>
      <c r="H5" s="6">
        <v>35000</v>
      </c>
      <c r="I5" s="5" t="s">
        <v>8</v>
      </c>
    </row>
    <row r="6" spans="1:13" ht="15.75" x14ac:dyDescent="0.25">
      <c r="A6" s="3" t="s">
        <v>35</v>
      </c>
      <c r="B6" s="8" t="s">
        <v>29</v>
      </c>
      <c r="C6" s="5" t="s">
        <v>60</v>
      </c>
      <c r="D6" s="5" t="s">
        <v>83</v>
      </c>
      <c r="E6" s="5">
        <v>36</v>
      </c>
      <c r="F6" s="5">
        <v>73</v>
      </c>
      <c r="G6" s="6">
        <v>306000</v>
      </c>
      <c r="H6" s="6">
        <v>620500</v>
      </c>
      <c r="I6" s="5" t="s">
        <v>8</v>
      </c>
    </row>
    <row r="7" spans="1:13" ht="15.75" x14ac:dyDescent="0.25">
      <c r="A7" s="3" t="s">
        <v>35</v>
      </c>
      <c r="B7" s="8" t="s">
        <v>29</v>
      </c>
      <c r="C7" s="5" t="s">
        <v>60</v>
      </c>
      <c r="D7" s="5" t="s">
        <v>84</v>
      </c>
      <c r="E7" s="5">
        <v>19</v>
      </c>
      <c r="F7" s="5">
        <v>21</v>
      </c>
      <c r="G7" s="6">
        <v>26600</v>
      </c>
      <c r="H7" s="6">
        <v>29400</v>
      </c>
      <c r="I7" s="5" t="s">
        <v>8</v>
      </c>
    </row>
    <row r="8" spans="1:13" ht="15.75" x14ac:dyDescent="0.25">
      <c r="A8" s="3" t="s">
        <v>35</v>
      </c>
      <c r="B8" s="8" t="s">
        <v>30</v>
      </c>
      <c r="C8" s="5" t="s">
        <v>61</v>
      </c>
      <c r="D8" s="5" t="s">
        <v>82</v>
      </c>
      <c r="E8" s="5">
        <v>16</v>
      </c>
      <c r="F8" s="5">
        <v>32</v>
      </c>
      <c r="G8" s="6">
        <v>20000</v>
      </c>
      <c r="H8" s="6">
        <v>40000</v>
      </c>
      <c r="I8" s="5" t="s">
        <v>8</v>
      </c>
    </row>
    <row r="9" spans="1:13" ht="15.75" x14ac:dyDescent="0.25">
      <c r="A9" s="3" t="s">
        <v>35</v>
      </c>
      <c r="B9" s="8" t="s">
        <v>30</v>
      </c>
      <c r="C9" s="5" t="s">
        <v>61</v>
      </c>
      <c r="D9" s="5" t="s">
        <v>83</v>
      </c>
      <c r="E9" s="5">
        <v>18</v>
      </c>
      <c r="F9" s="5">
        <v>64</v>
      </c>
      <c r="G9" s="6">
        <v>153000</v>
      </c>
      <c r="H9" s="6">
        <v>544000</v>
      </c>
      <c r="I9" s="5" t="s">
        <v>8</v>
      </c>
    </row>
    <row r="10" spans="1:13" ht="15.75" x14ac:dyDescent="0.25">
      <c r="A10" s="3" t="s">
        <v>35</v>
      </c>
      <c r="B10" s="8" t="s">
        <v>30</v>
      </c>
      <c r="C10" s="5" t="s">
        <v>61</v>
      </c>
      <c r="D10" s="5" t="s">
        <v>84</v>
      </c>
      <c r="E10" s="5">
        <v>13</v>
      </c>
      <c r="F10" s="5">
        <v>72</v>
      </c>
      <c r="G10" s="6">
        <v>18200</v>
      </c>
      <c r="H10" s="6">
        <v>100800</v>
      </c>
      <c r="I10" s="5" t="s">
        <v>8</v>
      </c>
    </row>
    <row r="11" spans="1:13" ht="15.75" x14ac:dyDescent="0.25">
      <c r="A11" s="3" t="s">
        <v>35</v>
      </c>
      <c r="B11" s="8" t="s">
        <v>36</v>
      </c>
      <c r="C11" s="5" t="s">
        <v>59</v>
      </c>
      <c r="D11" s="5" t="s">
        <v>82</v>
      </c>
      <c r="E11" s="5">
        <v>8</v>
      </c>
      <c r="F11" s="5">
        <v>11</v>
      </c>
      <c r="G11" s="6">
        <v>10000</v>
      </c>
      <c r="H11" s="6">
        <v>13750</v>
      </c>
      <c r="I11" s="5" t="s">
        <v>12</v>
      </c>
    </row>
    <row r="12" spans="1:13" ht="15.75" x14ac:dyDescent="0.25">
      <c r="A12" s="3" t="s">
        <v>35</v>
      </c>
      <c r="B12" s="8" t="s">
        <v>36</v>
      </c>
      <c r="C12" s="5" t="s">
        <v>59</v>
      </c>
      <c r="D12" s="5" t="s">
        <v>83</v>
      </c>
      <c r="E12" s="5">
        <v>22</v>
      </c>
      <c r="F12" s="5">
        <v>72</v>
      </c>
      <c r="G12" s="6">
        <v>187000</v>
      </c>
      <c r="H12" s="6">
        <v>612000</v>
      </c>
      <c r="I12" s="5" t="s">
        <v>12</v>
      </c>
    </row>
    <row r="13" spans="1:13" ht="15.75" x14ac:dyDescent="0.25">
      <c r="A13" s="3" t="s">
        <v>35</v>
      </c>
      <c r="B13" s="8" t="s">
        <v>36</v>
      </c>
      <c r="C13" s="5" t="s">
        <v>59</v>
      </c>
      <c r="D13" s="5" t="s">
        <v>84</v>
      </c>
      <c r="E13" s="5">
        <v>6</v>
      </c>
      <c r="F13" s="5">
        <v>24</v>
      </c>
      <c r="G13" s="6">
        <v>8400</v>
      </c>
      <c r="H13" s="6">
        <v>33600</v>
      </c>
      <c r="I13" s="5" t="s">
        <v>12</v>
      </c>
    </row>
    <row r="14" spans="1:13" ht="15.75" x14ac:dyDescent="0.25">
      <c r="A14" s="3" t="s">
        <v>35</v>
      </c>
      <c r="B14" s="8" t="s">
        <v>29</v>
      </c>
      <c r="C14" s="5" t="s">
        <v>60</v>
      </c>
      <c r="D14" s="5" t="s">
        <v>82</v>
      </c>
      <c r="E14" s="5">
        <v>132</v>
      </c>
      <c r="F14" s="5">
        <v>135</v>
      </c>
      <c r="G14" s="6">
        <v>165000</v>
      </c>
      <c r="H14" s="6">
        <v>168750</v>
      </c>
      <c r="I14" s="5" t="s">
        <v>12</v>
      </c>
    </row>
    <row r="15" spans="1:13" ht="15.75" x14ac:dyDescent="0.25">
      <c r="A15" s="3" t="s">
        <v>35</v>
      </c>
      <c r="B15" s="8" t="s">
        <v>29</v>
      </c>
      <c r="C15" s="5" t="s">
        <v>60</v>
      </c>
      <c r="D15" s="5" t="s">
        <v>83</v>
      </c>
      <c r="E15" s="5">
        <v>21</v>
      </c>
      <c r="F15" s="5">
        <v>24</v>
      </c>
      <c r="G15" s="6">
        <v>178500</v>
      </c>
      <c r="H15" s="6">
        <v>204000</v>
      </c>
      <c r="I15" s="5" t="s">
        <v>12</v>
      </c>
    </row>
    <row r="16" spans="1:13" ht="15.75" x14ac:dyDescent="0.25">
      <c r="A16" s="3" t="s">
        <v>35</v>
      </c>
      <c r="B16" s="8" t="s">
        <v>29</v>
      </c>
      <c r="C16" s="5" t="s">
        <v>60</v>
      </c>
      <c r="D16" s="5" t="s">
        <v>84</v>
      </c>
      <c r="E16" s="5">
        <v>36</v>
      </c>
      <c r="F16" s="5">
        <v>42</v>
      </c>
      <c r="G16" s="6">
        <v>50400</v>
      </c>
      <c r="H16" s="6">
        <v>58800</v>
      </c>
      <c r="I16" s="5" t="s">
        <v>12</v>
      </c>
    </row>
    <row r="17" spans="1:9" ht="15.75" x14ac:dyDescent="0.25">
      <c r="A17" s="3" t="s">
        <v>35</v>
      </c>
      <c r="B17" s="8" t="s">
        <v>30</v>
      </c>
      <c r="C17" s="5" t="s">
        <v>61</v>
      </c>
      <c r="D17" s="5" t="s">
        <v>82</v>
      </c>
      <c r="E17" s="5">
        <v>21</v>
      </c>
      <c r="F17" s="5">
        <v>32</v>
      </c>
      <c r="G17" s="6">
        <v>26250</v>
      </c>
      <c r="H17" s="6">
        <v>40000</v>
      </c>
      <c r="I17" s="5" t="s">
        <v>12</v>
      </c>
    </row>
    <row r="18" spans="1:9" ht="15.75" x14ac:dyDescent="0.25">
      <c r="A18" s="3" t="s">
        <v>35</v>
      </c>
      <c r="B18" s="8" t="s">
        <v>30</v>
      </c>
      <c r="C18" s="5" t="s">
        <v>61</v>
      </c>
      <c r="D18" s="5" t="s">
        <v>83</v>
      </c>
      <c r="E18" s="5">
        <v>19</v>
      </c>
      <c r="F18" s="5">
        <v>90</v>
      </c>
      <c r="G18" s="6">
        <v>161500</v>
      </c>
      <c r="H18" s="6">
        <v>765000</v>
      </c>
      <c r="I18" s="5" t="s">
        <v>12</v>
      </c>
    </row>
    <row r="19" spans="1:9" ht="15.75" x14ac:dyDescent="0.25">
      <c r="A19" s="3" t="s">
        <v>35</v>
      </c>
      <c r="B19" s="8" t="s">
        <v>30</v>
      </c>
      <c r="C19" s="5" t="s">
        <v>61</v>
      </c>
      <c r="D19" s="5" t="s">
        <v>84</v>
      </c>
      <c r="E19" s="5">
        <v>87</v>
      </c>
      <c r="F19" s="5">
        <v>100</v>
      </c>
      <c r="G19" s="6">
        <v>121800</v>
      </c>
      <c r="H19" s="6">
        <v>140000</v>
      </c>
      <c r="I19" s="5" t="s">
        <v>12</v>
      </c>
    </row>
    <row r="20" spans="1:9" ht="15.75" x14ac:dyDescent="0.25">
      <c r="A20" s="3" t="s">
        <v>35</v>
      </c>
      <c r="B20" s="8" t="s">
        <v>36</v>
      </c>
      <c r="C20" s="5" t="s">
        <v>59</v>
      </c>
      <c r="D20" s="5" t="s">
        <v>82</v>
      </c>
      <c r="E20" s="5">
        <v>22</v>
      </c>
      <c r="F20" s="5">
        <v>36</v>
      </c>
      <c r="G20" s="6">
        <v>27500</v>
      </c>
      <c r="H20" s="6">
        <v>45000</v>
      </c>
      <c r="I20" s="5" t="s">
        <v>10</v>
      </c>
    </row>
    <row r="21" spans="1:9" ht="15.75" x14ac:dyDescent="0.25">
      <c r="A21" s="3" t="s">
        <v>35</v>
      </c>
      <c r="B21" s="8" t="s">
        <v>36</v>
      </c>
      <c r="C21" s="5" t="s">
        <v>59</v>
      </c>
      <c r="D21" s="5" t="s">
        <v>83</v>
      </c>
      <c r="E21" s="5">
        <v>28</v>
      </c>
      <c r="F21" s="5">
        <v>48</v>
      </c>
      <c r="G21" s="6">
        <v>238000</v>
      </c>
      <c r="H21" s="6">
        <v>408000</v>
      </c>
      <c r="I21" s="5" t="s">
        <v>10</v>
      </c>
    </row>
    <row r="22" spans="1:9" ht="15.75" x14ac:dyDescent="0.25">
      <c r="A22" s="3" t="s">
        <v>35</v>
      </c>
      <c r="B22" s="8" t="s">
        <v>36</v>
      </c>
      <c r="C22" s="5" t="s">
        <v>59</v>
      </c>
      <c r="D22" s="5" t="s">
        <v>84</v>
      </c>
      <c r="E22" s="5">
        <v>9</v>
      </c>
      <c r="F22" s="5">
        <v>42</v>
      </c>
      <c r="G22" s="6">
        <v>12600</v>
      </c>
      <c r="H22" s="6">
        <v>58800</v>
      </c>
      <c r="I22" s="5" t="s">
        <v>10</v>
      </c>
    </row>
    <row r="23" spans="1:9" ht="15.75" x14ac:dyDescent="0.25">
      <c r="A23" s="3" t="s">
        <v>35</v>
      </c>
      <c r="B23" s="8" t="s">
        <v>29</v>
      </c>
      <c r="C23" s="5" t="s">
        <v>60</v>
      </c>
      <c r="D23" s="5" t="s">
        <v>82</v>
      </c>
      <c r="E23" s="5">
        <v>33</v>
      </c>
      <c r="F23" s="5">
        <v>53</v>
      </c>
      <c r="G23" s="6">
        <v>41250</v>
      </c>
      <c r="H23" s="6">
        <v>66250</v>
      </c>
      <c r="I23" s="5" t="s">
        <v>10</v>
      </c>
    </row>
    <row r="24" spans="1:9" ht="15.75" x14ac:dyDescent="0.25">
      <c r="A24" s="3" t="s">
        <v>35</v>
      </c>
      <c r="B24" s="8" t="s">
        <v>29</v>
      </c>
      <c r="C24" s="5" t="s">
        <v>60</v>
      </c>
      <c r="D24" s="5" t="s">
        <v>83</v>
      </c>
      <c r="E24" s="5">
        <v>2</v>
      </c>
      <c r="F24" s="5">
        <v>7</v>
      </c>
      <c r="G24" s="6">
        <v>17000</v>
      </c>
      <c r="H24" s="6">
        <v>59500</v>
      </c>
      <c r="I24" s="5" t="s">
        <v>10</v>
      </c>
    </row>
    <row r="25" spans="1:9" ht="15.75" x14ac:dyDescent="0.25">
      <c r="A25" s="3" t="s">
        <v>35</v>
      </c>
      <c r="B25" s="8" t="s">
        <v>29</v>
      </c>
      <c r="C25" s="5" t="s">
        <v>60</v>
      </c>
      <c r="D25" s="5" t="s">
        <v>84</v>
      </c>
      <c r="E25" s="5">
        <v>1</v>
      </c>
      <c r="F25" s="5">
        <v>2</v>
      </c>
      <c r="G25" s="6">
        <v>1400</v>
      </c>
      <c r="H25" s="6">
        <v>2800</v>
      </c>
      <c r="I25" s="5" t="s">
        <v>10</v>
      </c>
    </row>
    <row r="26" spans="1:9" ht="15.75" x14ac:dyDescent="0.25">
      <c r="A26" s="3" t="s">
        <v>35</v>
      </c>
      <c r="B26" s="8" t="s">
        <v>30</v>
      </c>
      <c r="C26" s="5" t="s">
        <v>61</v>
      </c>
      <c r="D26" s="5" t="s">
        <v>82</v>
      </c>
      <c r="E26" s="5">
        <v>14</v>
      </c>
      <c r="F26" s="5">
        <v>18</v>
      </c>
      <c r="G26" s="6">
        <v>17500</v>
      </c>
      <c r="H26" s="6">
        <v>22500</v>
      </c>
      <c r="I26" s="5" t="s">
        <v>10</v>
      </c>
    </row>
    <row r="27" spans="1:9" ht="15.75" x14ac:dyDescent="0.25">
      <c r="A27" s="3" t="s">
        <v>35</v>
      </c>
      <c r="B27" s="8" t="s">
        <v>30</v>
      </c>
      <c r="C27" s="5" t="s">
        <v>61</v>
      </c>
      <c r="D27" s="5" t="s">
        <v>83</v>
      </c>
      <c r="E27" s="5">
        <v>45</v>
      </c>
      <c r="F27" s="5">
        <v>61</v>
      </c>
      <c r="G27" s="6">
        <v>382500</v>
      </c>
      <c r="H27" s="6">
        <v>518500</v>
      </c>
      <c r="I27" s="5" t="s">
        <v>10</v>
      </c>
    </row>
    <row r="28" spans="1:9" ht="15.75" x14ac:dyDescent="0.25">
      <c r="A28" s="3" t="s">
        <v>35</v>
      </c>
      <c r="B28" s="8" t="s">
        <v>30</v>
      </c>
      <c r="C28" s="5" t="s">
        <v>61</v>
      </c>
      <c r="D28" s="5" t="s">
        <v>84</v>
      </c>
      <c r="E28" s="5">
        <v>11</v>
      </c>
      <c r="F28" s="5">
        <v>45</v>
      </c>
      <c r="G28" s="6">
        <v>15400</v>
      </c>
      <c r="H28" s="6">
        <v>63000</v>
      </c>
      <c r="I28" s="5" t="s">
        <v>10</v>
      </c>
    </row>
    <row r="29" spans="1:9" ht="15.75" x14ac:dyDescent="0.25">
      <c r="A29" s="3" t="s">
        <v>35</v>
      </c>
      <c r="B29" s="8" t="s">
        <v>36</v>
      </c>
      <c r="C29" s="5" t="s">
        <v>59</v>
      </c>
      <c r="D29" s="5" t="s">
        <v>82</v>
      </c>
      <c r="E29" s="5">
        <v>47</v>
      </c>
      <c r="F29" s="5">
        <v>51</v>
      </c>
      <c r="G29" s="6">
        <v>58750</v>
      </c>
      <c r="H29" s="6">
        <v>63750</v>
      </c>
      <c r="I29" s="5" t="s">
        <v>9</v>
      </c>
    </row>
    <row r="30" spans="1:9" ht="15.75" x14ac:dyDescent="0.25">
      <c r="A30" s="3" t="s">
        <v>35</v>
      </c>
      <c r="B30" s="8" t="s">
        <v>36</v>
      </c>
      <c r="C30" s="5" t="s">
        <v>59</v>
      </c>
      <c r="D30" s="5" t="s">
        <v>83</v>
      </c>
      <c r="E30" s="5">
        <v>47</v>
      </c>
      <c r="F30" s="5">
        <v>67</v>
      </c>
      <c r="G30" s="6">
        <v>399500</v>
      </c>
      <c r="H30" s="6">
        <v>569500</v>
      </c>
      <c r="I30" s="5" t="s">
        <v>9</v>
      </c>
    </row>
    <row r="31" spans="1:9" ht="15.75" x14ac:dyDescent="0.25">
      <c r="A31" s="3" t="s">
        <v>35</v>
      </c>
      <c r="B31" s="8" t="s">
        <v>36</v>
      </c>
      <c r="C31" s="5" t="s">
        <v>59</v>
      </c>
      <c r="D31" s="5" t="s">
        <v>84</v>
      </c>
      <c r="E31" s="5">
        <v>14</v>
      </c>
      <c r="F31" s="5">
        <v>35</v>
      </c>
      <c r="G31" s="6">
        <v>19600</v>
      </c>
      <c r="H31" s="6">
        <v>49000</v>
      </c>
      <c r="I31" s="5" t="s">
        <v>9</v>
      </c>
    </row>
    <row r="32" spans="1:9" ht="15.75" x14ac:dyDescent="0.25">
      <c r="A32" s="3" t="s">
        <v>35</v>
      </c>
      <c r="B32" s="8" t="s">
        <v>29</v>
      </c>
      <c r="C32" s="5" t="s">
        <v>60</v>
      </c>
      <c r="D32" s="5" t="s">
        <v>82</v>
      </c>
      <c r="E32" s="5">
        <v>31</v>
      </c>
      <c r="F32" s="5">
        <v>62</v>
      </c>
      <c r="G32" s="6">
        <v>38750</v>
      </c>
      <c r="H32" s="6">
        <v>77500</v>
      </c>
      <c r="I32" s="5" t="s">
        <v>9</v>
      </c>
    </row>
    <row r="33" spans="1:9" ht="15.75" x14ac:dyDescent="0.25">
      <c r="A33" s="3" t="s">
        <v>35</v>
      </c>
      <c r="B33" s="8" t="s">
        <v>29</v>
      </c>
      <c r="C33" s="5" t="s">
        <v>60</v>
      </c>
      <c r="D33" s="5" t="s">
        <v>83</v>
      </c>
      <c r="E33" s="5">
        <v>27</v>
      </c>
      <c r="F33" s="5">
        <v>33</v>
      </c>
      <c r="G33" s="6">
        <v>229500</v>
      </c>
      <c r="H33" s="6">
        <v>280500</v>
      </c>
      <c r="I33" s="5" t="s">
        <v>9</v>
      </c>
    </row>
    <row r="34" spans="1:9" ht="15.75" x14ac:dyDescent="0.25">
      <c r="A34" s="3" t="s">
        <v>35</v>
      </c>
      <c r="B34" s="8" t="s">
        <v>29</v>
      </c>
      <c r="C34" s="5" t="s">
        <v>60</v>
      </c>
      <c r="D34" s="5" t="s">
        <v>84</v>
      </c>
      <c r="E34" s="5">
        <v>21</v>
      </c>
      <c r="F34" s="5">
        <v>68</v>
      </c>
      <c r="G34" s="6">
        <v>29400</v>
      </c>
      <c r="H34" s="6">
        <v>95200</v>
      </c>
      <c r="I34" s="5" t="s">
        <v>9</v>
      </c>
    </row>
    <row r="35" spans="1:9" ht="15.75" x14ac:dyDescent="0.25">
      <c r="A35" s="3" t="s">
        <v>35</v>
      </c>
      <c r="B35" s="8" t="s">
        <v>30</v>
      </c>
      <c r="C35" s="5" t="s">
        <v>61</v>
      </c>
      <c r="D35" s="5" t="s">
        <v>82</v>
      </c>
      <c r="E35" s="5">
        <v>14</v>
      </c>
      <c r="F35" s="5">
        <v>62</v>
      </c>
      <c r="G35" s="6">
        <v>17500</v>
      </c>
      <c r="H35" s="6">
        <v>77500</v>
      </c>
      <c r="I35" s="5" t="s">
        <v>9</v>
      </c>
    </row>
    <row r="36" spans="1:9" ht="15.75" x14ac:dyDescent="0.25">
      <c r="A36" s="3" t="s">
        <v>35</v>
      </c>
      <c r="B36" s="8" t="s">
        <v>30</v>
      </c>
      <c r="C36" s="5" t="s">
        <v>61</v>
      </c>
      <c r="D36" s="5" t="s">
        <v>83</v>
      </c>
      <c r="E36" s="5">
        <v>1</v>
      </c>
      <c r="F36" s="5">
        <v>12</v>
      </c>
      <c r="G36" s="6">
        <v>8500</v>
      </c>
      <c r="H36" s="6">
        <v>102000</v>
      </c>
      <c r="I36" s="5" t="s">
        <v>9</v>
      </c>
    </row>
    <row r="37" spans="1:9" ht="15.75" x14ac:dyDescent="0.25">
      <c r="A37" s="3" t="s">
        <v>35</v>
      </c>
      <c r="B37" s="8" t="s">
        <v>30</v>
      </c>
      <c r="C37" s="5" t="s">
        <v>61</v>
      </c>
      <c r="D37" s="5" t="s">
        <v>84</v>
      </c>
      <c r="E37" s="5">
        <v>14</v>
      </c>
      <c r="F37" s="5">
        <v>23</v>
      </c>
      <c r="G37" s="6">
        <v>19600</v>
      </c>
      <c r="H37" s="6">
        <v>32200</v>
      </c>
      <c r="I37" s="5" t="s">
        <v>9</v>
      </c>
    </row>
    <row r="38" spans="1:9" ht="15.75" x14ac:dyDescent="0.25">
      <c r="A38" s="3" t="s">
        <v>35</v>
      </c>
      <c r="B38" s="8" t="s">
        <v>36</v>
      </c>
      <c r="C38" s="5" t="s">
        <v>59</v>
      </c>
      <c r="D38" s="5" t="s">
        <v>82</v>
      </c>
      <c r="E38" s="5">
        <v>39</v>
      </c>
      <c r="F38" s="5">
        <v>47</v>
      </c>
      <c r="G38" s="6">
        <v>48750</v>
      </c>
      <c r="H38" s="6">
        <v>58750</v>
      </c>
      <c r="I38" s="5" t="s">
        <v>6</v>
      </c>
    </row>
    <row r="39" spans="1:9" ht="15.75" x14ac:dyDescent="0.25">
      <c r="A39" s="3" t="s">
        <v>35</v>
      </c>
      <c r="B39" s="8" t="s">
        <v>36</v>
      </c>
      <c r="C39" s="5" t="s">
        <v>59</v>
      </c>
      <c r="D39" s="5" t="s">
        <v>83</v>
      </c>
      <c r="E39" s="5">
        <v>21</v>
      </c>
      <c r="F39" s="5">
        <v>28</v>
      </c>
      <c r="G39" s="6">
        <v>178500</v>
      </c>
      <c r="H39" s="6">
        <v>238000</v>
      </c>
      <c r="I39" s="5" t="s">
        <v>6</v>
      </c>
    </row>
    <row r="40" spans="1:9" ht="15.75" x14ac:dyDescent="0.25">
      <c r="A40" s="3" t="s">
        <v>35</v>
      </c>
      <c r="B40" s="8" t="s">
        <v>36</v>
      </c>
      <c r="C40" s="5" t="s">
        <v>59</v>
      </c>
      <c r="D40" s="5" t="s">
        <v>84</v>
      </c>
      <c r="E40" s="5">
        <v>56</v>
      </c>
      <c r="F40" s="5">
        <v>80</v>
      </c>
      <c r="G40" s="6">
        <v>78400</v>
      </c>
      <c r="H40" s="6">
        <v>112000</v>
      </c>
      <c r="I40" s="5" t="s">
        <v>6</v>
      </c>
    </row>
    <row r="41" spans="1:9" ht="15.75" x14ac:dyDescent="0.25">
      <c r="A41" s="3" t="s">
        <v>35</v>
      </c>
      <c r="B41" s="8" t="s">
        <v>29</v>
      </c>
      <c r="C41" s="5" t="s">
        <v>60</v>
      </c>
      <c r="D41" s="5" t="s">
        <v>82</v>
      </c>
      <c r="E41" s="5">
        <v>119</v>
      </c>
      <c r="F41" s="5">
        <v>136</v>
      </c>
      <c r="G41" s="6">
        <v>148750</v>
      </c>
      <c r="H41" s="6">
        <v>170000</v>
      </c>
      <c r="I41" s="5" t="s">
        <v>6</v>
      </c>
    </row>
    <row r="42" spans="1:9" ht="15.75" x14ac:dyDescent="0.25">
      <c r="A42" s="3" t="s">
        <v>35</v>
      </c>
      <c r="B42" s="8" t="s">
        <v>29</v>
      </c>
      <c r="C42" s="5" t="s">
        <v>60</v>
      </c>
      <c r="D42" s="5" t="s">
        <v>83</v>
      </c>
      <c r="E42" s="5">
        <v>8</v>
      </c>
      <c r="F42" s="5">
        <v>33</v>
      </c>
      <c r="G42" s="6">
        <v>68000</v>
      </c>
      <c r="H42" s="6">
        <v>280500</v>
      </c>
      <c r="I42" s="5" t="s">
        <v>6</v>
      </c>
    </row>
    <row r="43" spans="1:9" ht="15.75" x14ac:dyDescent="0.25">
      <c r="A43" s="3" t="s">
        <v>35</v>
      </c>
      <c r="B43" s="8" t="s">
        <v>29</v>
      </c>
      <c r="C43" s="5" t="s">
        <v>60</v>
      </c>
      <c r="D43" s="5" t="s">
        <v>84</v>
      </c>
      <c r="E43" s="5">
        <v>26</v>
      </c>
      <c r="F43" s="5">
        <v>73</v>
      </c>
      <c r="G43" s="6">
        <v>36400</v>
      </c>
      <c r="H43" s="6">
        <v>102200</v>
      </c>
      <c r="I43" s="5" t="s">
        <v>6</v>
      </c>
    </row>
    <row r="44" spans="1:9" ht="15.75" x14ac:dyDescent="0.25">
      <c r="A44" s="3" t="s">
        <v>35</v>
      </c>
      <c r="B44" s="8" t="s">
        <v>30</v>
      </c>
      <c r="C44" s="5" t="s">
        <v>61</v>
      </c>
      <c r="D44" s="5" t="s">
        <v>82</v>
      </c>
      <c r="E44" s="5">
        <v>4</v>
      </c>
      <c r="F44" s="5">
        <v>19</v>
      </c>
      <c r="G44" s="6">
        <v>5000</v>
      </c>
      <c r="H44" s="6">
        <v>23750</v>
      </c>
      <c r="I44" s="5" t="s">
        <v>6</v>
      </c>
    </row>
    <row r="45" spans="1:9" ht="15.75" x14ac:dyDescent="0.25">
      <c r="A45" s="3" t="s">
        <v>35</v>
      </c>
      <c r="B45" s="8" t="s">
        <v>30</v>
      </c>
      <c r="C45" s="5" t="s">
        <v>61</v>
      </c>
      <c r="D45" s="5" t="s">
        <v>83</v>
      </c>
      <c r="E45" s="5">
        <v>2</v>
      </c>
      <c r="F45" s="5">
        <v>4</v>
      </c>
      <c r="G45" s="6">
        <v>17000</v>
      </c>
      <c r="H45" s="6">
        <v>34000</v>
      </c>
      <c r="I45" s="5" t="s">
        <v>6</v>
      </c>
    </row>
    <row r="46" spans="1:9" ht="15.75" x14ac:dyDescent="0.25">
      <c r="A46" s="3" t="s">
        <v>35</v>
      </c>
      <c r="B46" s="8" t="s">
        <v>30</v>
      </c>
      <c r="C46" s="5" t="s">
        <v>61</v>
      </c>
      <c r="D46" s="5" t="s">
        <v>84</v>
      </c>
      <c r="E46" s="5">
        <v>14</v>
      </c>
      <c r="F46" s="5">
        <v>19</v>
      </c>
      <c r="G46" s="6">
        <v>19600</v>
      </c>
      <c r="H46" s="6">
        <v>26600</v>
      </c>
      <c r="I46" s="5" t="s">
        <v>6</v>
      </c>
    </row>
    <row r="47" spans="1:9" ht="15.75" x14ac:dyDescent="0.25">
      <c r="A47" s="3" t="s">
        <v>35</v>
      </c>
      <c r="B47" s="8" t="s">
        <v>36</v>
      </c>
      <c r="C47" s="5" t="s">
        <v>59</v>
      </c>
      <c r="D47" s="5" t="s">
        <v>82</v>
      </c>
      <c r="E47" s="5">
        <v>31</v>
      </c>
      <c r="F47" s="5">
        <v>71</v>
      </c>
      <c r="G47" s="6">
        <v>38750</v>
      </c>
      <c r="H47" s="6">
        <v>88750</v>
      </c>
      <c r="I47" s="5" t="s">
        <v>11</v>
      </c>
    </row>
    <row r="48" spans="1:9" ht="15.75" x14ac:dyDescent="0.25">
      <c r="A48" s="3" t="s">
        <v>35</v>
      </c>
      <c r="B48" s="8" t="s">
        <v>36</v>
      </c>
      <c r="C48" s="5" t="s">
        <v>59</v>
      </c>
      <c r="D48" s="5" t="s">
        <v>83</v>
      </c>
      <c r="E48" s="5">
        <v>66</v>
      </c>
      <c r="F48" s="5">
        <v>77</v>
      </c>
      <c r="G48" s="6">
        <v>561000</v>
      </c>
      <c r="H48" s="6">
        <v>654500</v>
      </c>
      <c r="I48" s="5" t="s">
        <v>11</v>
      </c>
    </row>
    <row r="49" spans="1:9" ht="15.75" x14ac:dyDescent="0.25">
      <c r="A49" s="3" t="s">
        <v>35</v>
      </c>
      <c r="B49" s="8" t="s">
        <v>36</v>
      </c>
      <c r="C49" s="5" t="s">
        <v>59</v>
      </c>
      <c r="D49" s="5" t="s">
        <v>84</v>
      </c>
      <c r="E49" s="5">
        <v>85</v>
      </c>
      <c r="F49" s="5">
        <v>87</v>
      </c>
      <c r="G49" s="6">
        <v>119000</v>
      </c>
      <c r="H49" s="6">
        <v>121800</v>
      </c>
      <c r="I49" s="5" t="s">
        <v>11</v>
      </c>
    </row>
    <row r="50" spans="1:9" ht="15.75" x14ac:dyDescent="0.25">
      <c r="A50" s="3" t="s">
        <v>35</v>
      </c>
      <c r="B50" s="8" t="s">
        <v>29</v>
      </c>
      <c r="C50" s="5" t="s">
        <v>60</v>
      </c>
      <c r="D50" s="5" t="s">
        <v>82</v>
      </c>
      <c r="E50" s="5">
        <v>18</v>
      </c>
      <c r="F50" s="5">
        <v>39</v>
      </c>
      <c r="G50" s="6">
        <v>22500</v>
      </c>
      <c r="H50" s="6">
        <v>48750</v>
      </c>
      <c r="I50" s="5" t="s">
        <v>11</v>
      </c>
    </row>
    <row r="51" spans="1:9" ht="15.75" x14ac:dyDescent="0.25">
      <c r="A51" s="3" t="s">
        <v>35</v>
      </c>
      <c r="B51" s="8" t="s">
        <v>29</v>
      </c>
      <c r="C51" s="5" t="s">
        <v>60</v>
      </c>
      <c r="D51" s="5" t="s">
        <v>83</v>
      </c>
      <c r="E51" s="5">
        <v>10</v>
      </c>
      <c r="F51" s="5">
        <v>21</v>
      </c>
      <c r="G51" s="6">
        <v>85000</v>
      </c>
      <c r="H51" s="6">
        <v>178500</v>
      </c>
      <c r="I51" s="5" t="s">
        <v>11</v>
      </c>
    </row>
    <row r="52" spans="1:9" ht="15.75" x14ac:dyDescent="0.25">
      <c r="A52" s="3" t="s">
        <v>35</v>
      </c>
      <c r="B52" s="8" t="s">
        <v>29</v>
      </c>
      <c r="C52" s="5" t="s">
        <v>60</v>
      </c>
      <c r="D52" s="5" t="s">
        <v>84</v>
      </c>
      <c r="E52" s="5">
        <v>6</v>
      </c>
      <c r="F52" s="5">
        <v>12</v>
      </c>
      <c r="G52" s="6">
        <v>8400</v>
      </c>
      <c r="H52" s="6">
        <v>16800</v>
      </c>
      <c r="I52" s="5" t="s">
        <v>11</v>
      </c>
    </row>
    <row r="53" spans="1:9" ht="15.75" x14ac:dyDescent="0.25">
      <c r="A53" s="3" t="s">
        <v>35</v>
      </c>
      <c r="B53" s="8" t="s">
        <v>30</v>
      </c>
      <c r="C53" s="5" t="s">
        <v>61</v>
      </c>
      <c r="D53" s="5" t="s">
        <v>82</v>
      </c>
      <c r="E53" s="5">
        <v>19</v>
      </c>
      <c r="F53" s="5">
        <v>34</v>
      </c>
      <c r="G53" s="6">
        <v>23750</v>
      </c>
      <c r="H53" s="6">
        <v>42500</v>
      </c>
      <c r="I53" s="5" t="s">
        <v>11</v>
      </c>
    </row>
    <row r="54" spans="1:9" ht="15.75" x14ac:dyDescent="0.25">
      <c r="A54" s="3" t="s">
        <v>35</v>
      </c>
      <c r="B54" s="8" t="s">
        <v>30</v>
      </c>
      <c r="C54" s="5" t="s">
        <v>61</v>
      </c>
      <c r="D54" s="5" t="s">
        <v>83</v>
      </c>
      <c r="E54" s="5">
        <v>5</v>
      </c>
      <c r="F54" s="5">
        <v>32</v>
      </c>
      <c r="G54" s="6">
        <v>42500</v>
      </c>
      <c r="H54" s="6">
        <v>272000</v>
      </c>
      <c r="I54" s="5" t="s">
        <v>11</v>
      </c>
    </row>
    <row r="55" spans="1:9" ht="15.75" x14ac:dyDescent="0.25">
      <c r="A55" s="3" t="s">
        <v>35</v>
      </c>
      <c r="B55" s="8" t="s">
        <v>30</v>
      </c>
      <c r="C55" s="5" t="s">
        <v>61</v>
      </c>
      <c r="D55" s="5" t="s">
        <v>84</v>
      </c>
      <c r="E55" s="5">
        <v>23</v>
      </c>
      <c r="F55" s="5">
        <v>70</v>
      </c>
      <c r="G55" s="6">
        <v>32200</v>
      </c>
      <c r="H55" s="6">
        <v>98000</v>
      </c>
      <c r="I55" s="5" t="s">
        <v>11</v>
      </c>
    </row>
    <row r="56" spans="1:9" ht="15.75" x14ac:dyDescent="0.25">
      <c r="A56" s="3" t="s">
        <v>35</v>
      </c>
      <c r="B56" s="8" t="s">
        <v>36</v>
      </c>
      <c r="C56" s="5" t="s">
        <v>59</v>
      </c>
      <c r="D56" s="5" t="s">
        <v>82</v>
      </c>
      <c r="E56" s="5">
        <v>3</v>
      </c>
      <c r="F56" s="5">
        <v>13</v>
      </c>
      <c r="G56" s="6">
        <v>3750</v>
      </c>
      <c r="H56" s="6">
        <v>16250</v>
      </c>
      <c r="I56" s="5" t="s">
        <v>3</v>
      </c>
    </row>
    <row r="57" spans="1:9" ht="15.75" x14ac:dyDescent="0.25">
      <c r="A57" s="3" t="s">
        <v>35</v>
      </c>
      <c r="B57" s="8" t="s">
        <v>36</v>
      </c>
      <c r="C57" s="5" t="s">
        <v>59</v>
      </c>
      <c r="D57" s="5" t="s">
        <v>83</v>
      </c>
      <c r="E57" s="5">
        <v>71</v>
      </c>
      <c r="F57" s="5">
        <v>88</v>
      </c>
      <c r="G57" s="6">
        <v>603500</v>
      </c>
      <c r="H57" s="6">
        <v>748000</v>
      </c>
      <c r="I57" s="5" t="s">
        <v>3</v>
      </c>
    </row>
    <row r="58" spans="1:9" ht="15.75" x14ac:dyDescent="0.25">
      <c r="A58" s="3" t="s">
        <v>35</v>
      </c>
      <c r="B58" s="8" t="s">
        <v>36</v>
      </c>
      <c r="C58" s="5" t="s">
        <v>59</v>
      </c>
      <c r="D58" s="5" t="s">
        <v>84</v>
      </c>
      <c r="E58" s="5">
        <v>19</v>
      </c>
      <c r="F58" s="5">
        <v>38</v>
      </c>
      <c r="G58" s="6">
        <v>26600</v>
      </c>
      <c r="H58" s="6">
        <v>53200</v>
      </c>
      <c r="I58" s="5" t="s">
        <v>3</v>
      </c>
    </row>
    <row r="59" spans="1:9" ht="15.75" x14ac:dyDescent="0.25">
      <c r="A59" s="3" t="s">
        <v>35</v>
      </c>
      <c r="B59" s="8" t="s">
        <v>29</v>
      </c>
      <c r="C59" s="5" t="s">
        <v>60</v>
      </c>
      <c r="D59" s="5" t="s">
        <v>82</v>
      </c>
      <c r="E59" s="5">
        <v>33</v>
      </c>
      <c r="F59" s="5">
        <v>53</v>
      </c>
      <c r="G59" s="6">
        <v>41250</v>
      </c>
      <c r="H59" s="6">
        <v>66250</v>
      </c>
      <c r="I59" s="5" t="s">
        <v>3</v>
      </c>
    </row>
    <row r="60" spans="1:9" ht="15.75" x14ac:dyDescent="0.25">
      <c r="A60" s="3" t="s">
        <v>35</v>
      </c>
      <c r="B60" s="8" t="s">
        <v>29</v>
      </c>
      <c r="C60" s="5" t="s">
        <v>60</v>
      </c>
      <c r="D60" s="5" t="s">
        <v>83</v>
      </c>
      <c r="E60" s="5">
        <v>20</v>
      </c>
      <c r="F60" s="5">
        <v>69</v>
      </c>
      <c r="G60" s="6">
        <v>170000</v>
      </c>
      <c r="H60" s="6">
        <v>586500</v>
      </c>
      <c r="I60" s="5" t="s">
        <v>3</v>
      </c>
    </row>
    <row r="61" spans="1:9" ht="15.75" x14ac:dyDescent="0.25">
      <c r="A61" s="3" t="s">
        <v>35</v>
      </c>
      <c r="B61" s="8" t="s">
        <v>29</v>
      </c>
      <c r="C61" s="5" t="s">
        <v>60</v>
      </c>
      <c r="D61" s="5" t="s">
        <v>84</v>
      </c>
      <c r="E61" s="5">
        <v>26</v>
      </c>
      <c r="F61" s="5">
        <v>28</v>
      </c>
      <c r="G61" s="6">
        <v>36400</v>
      </c>
      <c r="H61" s="6">
        <v>39200</v>
      </c>
      <c r="I61" s="5" t="s">
        <v>3</v>
      </c>
    </row>
    <row r="62" spans="1:9" ht="15.75" x14ac:dyDescent="0.25">
      <c r="A62" s="3" t="s">
        <v>35</v>
      </c>
      <c r="B62" s="8" t="s">
        <v>30</v>
      </c>
      <c r="C62" s="5" t="s">
        <v>61</v>
      </c>
      <c r="D62" s="5" t="s">
        <v>82</v>
      </c>
      <c r="E62" s="5">
        <v>20</v>
      </c>
      <c r="F62" s="5">
        <v>30</v>
      </c>
      <c r="G62" s="6">
        <v>25000</v>
      </c>
      <c r="H62" s="6">
        <v>37500</v>
      </c>
      <c r="I62" s="5" t="s">
        <v>3</v>
      </c>
    </row>
    <row r="63" spans="1:9" ht="15.75" x14ac:dyDescent="0.25">
      <c r="A63" s="3" t="s">
        <v>35</v>
      </c>
      <c r="B63" s="8" t="s">
        <v>30</v>
      </c>
      <c r="C63" s="5" t="s">
        <v>61</v>
      </c>
      <c r="D63" s="5" t="s">
        <v>83</v>
      </c>
      <c r="E63" s="5">
        <v>14</v>
      </c>
      <c r="F63" s="5">
        <v>109</v>
      </c>
      <c r="G63" s="6">
        <v>119000</v>
      </c>
      <c r="H63" s="6">
        <v>926500</v>
      </c>
      <c r="I63" s="5" t="s">
        <v>3</v>
      </c>
    </row>
    <row r="64" spans="1:9" ht="15.75" x14ac:dyDescent="0.25">
      <c r="A64" s="3" t="s">
        <v>35</v>
      </c>
      <c r="B64" s="8" t="s">
        <v>30</v>
      </c>
      <c r="C64" s="5" t="s">
        <v>61</v>
      </c>
      <c r="D64" s="5" t="s">
        <v>84</v>
      </c>
      <c r="E64" s="5">
        <v>0</v>
      </c>
      <c r="F64" s="5">
        <v>3</v>
      </c>
      <c r="G64" s="6">
        <v>0</v>
      </c>
      <c r="H64" s="6">
        <v>4200</v>
      </c>
      <c r="I64" s="5" t="s">
        <v>3</v>
      </c>
    </row>
    <row r="65" spans="1:9" ht="15.75" x14ac:dyDescent="0.25">
      <c r="A65" s="3" t="s">
        <v>35</v>
      </c>
      <c r="B65" s="8" t="s">
        <v>36</v>
      </c>
      <c r="C65" s="5" t="s">
        <v>59</v>
      </c>
      <c r="D65" s="5" t="s">
        <v>82</v>
      </c>
      <c r="E65" s="5">
        <v>9</v>
      </c>
      <c r="F65" s="5">
        <v>37</v>
      </c>
      <c r="G65" s="6">
        <v>11250</v>
      </c>
      <c r="H65" s="6">
        <v>46250</v>
      </c>
      <c r="I65" s="5" t="s">
        <v>5</v>
      </c>
    </row>
    <row r="66" spans="1:9" ht="15.75" x14ac:dyDescent="0.25">
      <c r="A66" s="3" t="s">
        <v>35</v>
      </c>
      <c r="B66" s="8" t="s">
        <v>36</v>
      </c>
      <c r="C66" s="5" t="s">
        <v>59</v>
      </c>
      <c r="D66" s="5" t="s">
        <v>83</v>
      </c>
      <c r="E66" s="5">
        <v>31</v>
      </c>
      <c r="F66" s="5">
        <v>62</v>
      </c>
      <c r="G66" s="6">
        <v>263500</v>
      </c>
      <c r="H66" s="6">
        <v>527000</v>
      </c>
      <c r="I66" s="5" t="s">
        <v>5</v>
      </c>
    </row>
    <row r="67" spans="1:9" ht="15.75" x14ac:dyDescent="0.25">
      <c r="A67" s="3" t="s">
        <v>35</v>
      </c>
      <c r="B67" s="8" t="s">
        <v>36</v>
      </c>
      <c r="C67" s="5" t="s">
        <v>59</v>
      </c>
      <c r="D67" s="5" t="s">
        <v>84</v>
      </c>
      <c r="E67" s="5">
        <v>9</v>
      </c>
      <c r="F67" s="5">
        <v>25</v>
      </c>
      <c r="G67" s="6">
        <v>12600</v>
      </c>
      <c r="H67" s="6">
        <v>35000</v>
      </c>
      <c r="I67" s="5" t="s">
        <v>5</v>
      </c>
    </row>
    <row r="68" spans="1:9" ht="15.75" x14ac:dyDescent="0.25">
      <c r="A68" s="3" t="s">
        <v>35</v>
      </c>
      <c r="B68" s="8" t="s">
        <v>29</v>
      </c>
      <c r="C68" s="5" t="s">
        <v>60</v>
      </c>
      <c r="D68" s="5" t="s">
        <v>82</v>
      </c>
      <c r="E68" s="5">
        <v>35</v>
      </c>
      <c r="F68" s="5">
        <v>80</v>
      </c>
      <c r="G68" s="6">
        <v>43750</v>
      </c>
      <c r="H68" s="6">
        <v>100000</v>
      </c>
      <c r="I68" s="5" t="s">
        <v>5</v>
      </c>
    </row>
    <row r="69" spans="1:9" ht="15.75" x14ac:dyDescent="0.25">
      <c r="A69" s="3" t="s">
        <v>35</v>
      </c>
      <c r="B69" s="8" t="s">
        <v>29</v>
      </c>
      <c r="C69" s="5" t="s">
        <v>60</v>
      </c>
      <c r="D69" s="5" t="s">
        <v>83</v>
      </c>
      <c r="E69" s="5">
        <v>0</v>
      </c>
      <c r="F69" s="5">
        <v>2</v>
      </c>
      <c r="G69" s="6">
        <v>0</v>
      </c>
      <c r="H69" s="6">
        <v>17000</v>
      </c>
      <c r="I69" s="5" t="s">
        <v>5</v>
      </c>
    </row>
    <row r="70" spans="1:9" ht="15.75" x14ac:dyDescent="0.25">
      <c r="A70" s="3" t="s">
        <v>35</v>
      </c>
      <c r="B70" s="8" t="s">
        <v>29</v>
      </c>
      <c r="C70" s="5" t="s">
        <v>60</v>
      </c>
      <c r="D70" s="5" t="s">
        <v>84</v>
      </c>
      <c r="E70" s="5">
        <v>2</v>
      </c>
      <c r="F70" s="5">
        <v>14</v>
      </c>
      <c r="G70" s="6">
        <v>2800</v>
      </c>
      <c r="H70" s="6">
        <v>19600</v>
      </c>
      <c r="I70" s="5" t="s">
        <v>5</v>
      </c>
    </row>
    <row r="71" spans="1:9" ht="15.75" x14ac:dyDescent="0.25">
      <c r="A71" s="3" t="s">
        <v>35</v>
      </c>
      <c r="B71" s="8" t="s">
        <v>30</v>
      </c>
      <c r="C71" s="5" t="s">
        <v>61</v>
      </c>
      <c r="D71" s="5" t="s">
        <v>82</v>
      </c>
      <c r="E71" s="5">
        <v>11</v>
      </c>
      <c r="F71" s="5">
        <v>49</v>
      </c>
      <c r="G71" s="6">
        <v>13750</v>
      </c>
      <c r="H71" s="6">
        <v>61250</v>
      </c>
      <c r="I71" s="5" t="s">
        <v>5</v>
      </c>
    </row>
    <row r="72" spans="1:9" ht="15.75" x14ac:dyDescent="0.25">
      <c r="A72" s="3" t="s">
        <v>35</v>
      </c>
      <c r="B72" s="8" t="s">
        <v>30</v>
      </c>
      <c r="C72" s="5" t="s">
        <v>61</v>
      </c>
      <c r="D72" s="5" t="s">
        <v>83</v>
      </c>
      <c r="E72" s="5">
        <v>64</v>
      </c>
      <c r="F72" s="5">
        <v>65</v>
      </c>
      <c r="G72" s="6">
        <v>544000</v>
      </c>
      <c r="H72" s="6">
        <v>552500</v>
      </c>
      <c r="I72" s="5" t="s">
        <v>5</v>
      </c>
    </row>
    <row r="73" spans="1:9" ht="15.75" x14ac:dyDescent="0.25">
      <c r="A73" s="3" t="s">
        <v>35</v>
      </c>
      <c r="B73" s="8" t="s">
        <v>30</v>
      </c>
      <c r="C73" s="5" t="s">
        <v>61</v>
      </c>
      <c r="D73" s="5" t="s">
        <v>84</v>
      </c>
      <c r="E73" s="5">
        <v>71</v>
      </c>
      <c r="F73" s="5">
        <v>79</v>
      </c>
      <c r="G73" s="6">
        <v>99400</v>
      </c>
      <c r="H73" s="6">
        <v>110600</v>
      </c>
      <c r="I73" s="5" t="s">
        <v>5</v>
      </c>
    </row>
    <row r="74" spans="1:9" ht="15.75" x14ac:dyDescent="0.25">
      <c r="A74" s="3" t="s">
        <v>35</v>
      </c>
      <c r="B74" s="8" t="s">
        <v>36</v>
      </c>
      <c r="C74" s="5" t="s">
        <v>59</v>
      </c>
      <c r="D74" s="5" t="s">
        <v>82</v>
      </c>
      <c r="E74" s="5">
        <v>25</v>
      </c>
      <c r="F74" s="5">
        <v>65</v>
      </c>
      <c r="G74" s="6">
        <v>31250</v>
      </c>
      <c r="H74" s="6">
        <v>81250</v>
      </c>
      <c r="I74" s="5" t="s">
        <v>4</v>
      </c>
    </row>
    <row r="75" spans="1:9" ht="15.75" x14ac:dyDescent="0.25">
      <c r="A75" s="3" t="s">
        <v>35</v>
      </c>
      <c r="B75" s="8" t="s">
        <v>36</v>
      </c>
      <c r="C75" s="5" t="s">
        <v>59</v>
      </c>
      <c r="D75" s="5" t="s">
        <v>83</v>
      </c>
      <c r="E75" s="5">
        <v>16</v>
      </c>
      <c r="F75" s="5">
        <v>51</v>
      </c>
      <c r="G75" s="6">
        <v>136000</v>
      </c>
      <c r="H75" s="6">
        <v>433500</v>
      </c>
      <c r="I75" s="5" t="s">
        <v>4</v>
      </c>
    </row>
    <row r="76" spans="1:9" ht="15.75" x14ac:dyDescent="0.25">
      <c r="A76" s="3" t="s">
        <v>35</v>
      </c>
      <c r="B76" s="8" t="s">
        <v>36</v>
      </c>
      <c r="C76" s="5" t="s">
        <v>59</v>
      </c>
      <c r="D76" s="5" t="s">
        <v>84</v>
      </c>
      <c r="E76" s="5">
        <v>7</v>
      </c>
      <c r="F76" s="5">
        <v>26</v>
      </c>
      <c r="G76" s="6">
        <v>9800</v>
      </c>
      <c r="H76" s="6">
        <v>36400</v>
      </c>
      <c r="I76" s="5" t="s">
        <v>4</v>
      </c>
    </row>
    <row r="77" spans="1:9" ht="15.75" x14ac:dyDescent="0.25">
      <c r="A77" s="3" t="s">
        <v>35</v>
      </c>
      <c r="B77" s="8" t="s">
        <v>29</v>
      </c>
      <c r="C77" s="5" t="s">
        <v>60</v>
      </c>
      <c r="D77" s="5" t="s">
        <v>82</v>
      </c>
      <c r="E77" s="5">
        <v>81</v>
      </c>
      <c r="F77" s="5">
        <v>83</v>
      </c>
      <c r="G77" s="6">
        <v>101250</v>
      </c>
      <c r="H77" s="6">
        <v>103750</v>
      </c>
      <c r="I77" s="5" t="s">
        <v>4</v>
      </c>
    </row>
    <row r="78" spans="1:9" ht="15.75" x14ac:dyDescent="0.25">
      <c r="A78" s="3" t="s">
        <v>35</v>
      </c>
      <c r="B78" s="8" t="s">
        <v>29</v>
      </c>
      <c r="C78" s="5" t="s">
        <v>60</v>
      </c>
      <c r="D78" s="5" t="s">
        <v>83</v>
      </c>
      <c r="E78" s="5">
        <v>0</v>
      </c>
      <c r="F78" s="5">
        <v>1</v>
      </c>
      <c r="G78" s="6">
        <v>0</v>
      </c>
      <c r="H78" s="6">
        <v>8500</v>
      </c>
      <c r="I78" s="5" t="s">
        <v>4</v>
      </c>
    </row>
    <row r="79" spans="1:9" ht="15.75" x14ac:dyDescent="0.25">
      <c r="A79" s="3" t="s">
        <v>35</v>
      </c>
      <c r="B79" s="8" t="s">
        <v>29</v>
      </c>
      <c r="C79" s="5" t="s">
        <v>60</v>
      </c>
      <c r="D79" s="5" t="s">
        <v>84</v>
      </c>
      <c r="E79" s="5">
        <v>3</v>
      </c>
      <c r="F79" s="5">
        <v>32</v>
      </c>
      <c r="G79" s="6">
        <v>4200</v>
      </c>
      <c r="H79" s="6">
        <v>44800</v>
      </c>
      <c r="I79" s="5" t="s">
        <v>4</v>
      </c>
    </row>
    <row r="80" spans="1:9" ht="15.75" x14ac:dyDescent="0.25">
      <c r="A80" s="3" t="s">
        <v>35</v>
      </c>
      <c r="B80" s="8" t="s">
        <v>30</v>
      </c>
      <c r="C80" s="5" t="s">
        <v>61</v>
      </c>
      <c r="D80" s="5" t="s">
        <v>82</v>
      </c>
      <c r="E80" s="5">
        <v>12</v>
      </c>
      <c r="F80" s="5">
        <v>76</v>
      </c>
      <c r="G80" s="6">
        <v>15000</v>
      </c>
      <c r="H80" s="6">
        <v>95000</v>
      </c>
      <c r="I80" s="5" t="s">
        <v>4</v>
      </c>
    </row>
    <row r="81" spans="1:9" ht="15.75" x14ac:dyDescent="0.25">
      <c r="A81" s="3" t="s">
        <v>35</v>
      </c>
      <c r="B81" s="8" t="s">
        <v>30</v>
      </c>
      <c r="C81" s="5" t="s">
        <v>61</v>
      </c>
      <c r="D81" s="5" t="s">
        <v>83</v>
      </c>
      <c r="E81" s="5">
        <v>0</v>
      </c>
      <c r="F81" s="5">
        <v>6</v>
      </c>
      <c r="G81" s="6">
        <v>0</v>
      </c>
      <c r="H81" s="6">
        <v>51000</v>
      </c>
      <c r="I81" s="5" t="s">
        <v>4</v>
      </c>
    </row>
    <row r="82" spans="1:9" ht="15.75" x14ac:dyDescent="0.25">
      <c r="A82" s="3" t="s">
        <v>35</v>
      </c>
      <c r="B82" s="8" t="s">
        <v>30</v>
      </c>
      <c r="C82" s="5" t="s">
        <v>61</v>
      </c>
      <c r="D82" s="5" t="s">
        <v>84</v>
      </c>
      <c r="E82" s="5">
        <v>9</v>
      </c>
      <c r="F82" s="5">
        <v>61</v>
      </c>
      <c r="G82" s="6">
        <v>12600</v>
      </c>
      <c r="H82" s="6">
        <v>85400</v>
      </c>
      <c r="I82" s="5" t="s">
        <v>4</v>
      </c>
    </row>
    <row r="83" spans="1:9" ht="15.75" x14ac:dyDescent="0.25">
      <c r="A83" s="3" t="s">
        <v>35</v>
      </c>
      <c r="B83" s="8" t="s">
        <v>36</v>
      </c>
      <c r="C83" s="5" t="s">
        <v>59</v>
      </c>
      <c r="D83" s="5" t="s">
        <v>82</v>
      </c>
      <c r="E83" s="5">
        <v>5</v>
      </c>
      <c r="F83" s="5">
        <v>12</v>
      </c>
      <c r="G83" s="6">
        <v>6250</v>
      </c>
      <c r="H83" s="6">
        <v>15000</v>
      </c>
      <c r="I83" s="5" t="s">
        <v>1</v>
      </c>
    </row>
    <row r="84" spans="1:9" ht="15.75" x14ac:dyDescent="0.25">
      <c r="A84" s="3" t="s">
        <v>35</v>
      </c>
      <c r="B84" s="8" t="s">
        <v>36</v>
      </c>
      <c r="C84" s="5" t="s">
        <v>59</v>
      </c>
      <c r="D84" s="5" t="s">
        <v>83</v>
      </c>
      <c r="E84" s="5">
        <v>7</v>
      </c>
      <c r="F84" s="5">
        <v>11</v>
      </c>
      <c r="G84" s="6">
        <v>59500</v>
      </c>
      <c r="H84" s="6">
        <v>93500</v>
      </c>
      <c r="I84" s="5" t="s">
        <v>1</v>
      </c>
    </row>
    <row r="85" spans="1:9" ht="15.75" x14ac:dyDescent="0.25">
      <c r="A85" s="3" t="s">
        <v>35</v>
      </c>
      <c r="B85" s="8" t="s">
        <v>36</v>
      </c>
      <c r="C85" s="5" t="s">
        <v>59</v>
      </c>
      <c r="D85" s="5" t="s">
        <v>84</v>
      </c>
      <c r="E85" s="5">
        <v>76</v>
      </c>
      <c r="F85" s="5">
        <v>130</v>
      </c>
      <c r="G85" s="6">
        <v>106400</v>
      </c>
      <c r="H85" s="6">
        <v>182000</v>
      </c>
      <c r="I85" s="5" t="s">
        <v>1</v>
      </c>
    </row>
    <row r="86" spans="1:9" ht="15.75" x14ac:dyDescent="0.25">
      <c r="A86" s="3" t="s">
        <v>35</v>
      </c>
      <c r="B86" s="8" t="s">
        <v>29</v>
      </c>
      <c r="C86" s="5" t="s">
        <v>60</v>
      </c>
      <c r="D86" s="5" t="s">
        <v>82</v>
      </c>
      <c r="E86" s="5">
        <v>9</v>
      </c>
      <c r="F86" s="5">
        <v>52</v>
      </c>
      <c r="G86" s="6">
        <v>11250</v>
      </c>
      <c r="H86" s="6">
        <v>65000</v>
      </c>
      <c r="I86" s="5" t="s">
        <v>1</v>
      </c>
    </row>
    <row r="87" spans="1:9" ht="15.75" x14ac:dyDescent="0.25">
      <c r="A87" s="3" t="s">
        <v>35</v>
      </c>
      <c r="B87" s="8" t="s">
        <v>29</v>
      </c>
      <c r="C87" s="5" t="s">
        <v>60</v>
      </c>
      <c r="D87" s="5" t="s">
        <v>83</v>
      </c>
      <c r="E87" s="5">
        <v>23</v>
      </c>
      <c r="F87" s="5">
        <v>53</v>
      </c>
      <c r="G87" s="6">
        <v>195500</v>
      </c>
      <c r="H87" s="6">
        <v>450500</v>
      </c>
      <c r="I87" s="5" t="s">
        <v>1</v>
      </c>
    </row>
    <row r="88" spans="1:9" ht="15.75" x14ac:dyDescent="0.25">
      <c r="A88" s="3" t="s">
        <v>35</v>
      </c>
      <c r="B88" s="8" t="s">
        <v>29</v>
      </c>
      <c r="C88" s="5" t="s">
        <v>60</v>
      </c>
      <c r="D88" s="5" t="s">
        <v>84</v>
      </c>
      <c r="E88" s="5">
        <v>6</v>
      </c>
      <c r="F88" s="5">
        <v>23</v>
      </c>
      <c r="G88" s="6">
        <v>8400</v>
      </c>
      <c r="H88" s="6">
        <v>32200</v>
      </c>
      <c r="I88" s="5" t="s">
        <v>1</v>
      </c>
    </row>
    <row r="89" spans="1:9" ht="15.75" x14ac:dyDescent="0.25">
      <c r="A89" s="3" t="s">
        <v>35</v>
      </c>
      <c r="B89" s="8" t="s">
        <v>30</v>
      </c>
      <c r="C89" s="5" t="s">
        <v>61</v>
      </c>
      <c r="D89" s="5" t="s">
        <v>82</v>
      </c>
      <c r="E89" s="5">
        <v>9</v>
      </c>
      <c r="F89" s="5">
        <v>62</v>
      </c>
      <c r="G89" s="6">
        <v>11250</v>
      </c>
      <c r="H89" s="6">
        <v>77500</v>
      </c>
      <c r="I89" s="5" t="s">
        <v>1</v>
      </c>
    </row>
    <row r="90" spans="1:9" ht="15.75" x14ac:dyDescent="0.25">
      <c r="A90" s="3" t="s">
        <v>35</v>
      </c>
      <c r="B90" s="8" t="s">
        <v>30</v>
      </c>
      <c r="C90" s="5" t="s">
        <v>61</v>
      </c>
      <c r="D90" s="5" t="s">
        <v>83</v>
      </c>
      <c r="E90" s="5">
        <v>73</v>
      </c>
      <c r="F90" s="5">
        <v>94</v>
      </c>
      <c r="G90" s="6">
        <v>620500</v>
      </c>
      <c r="H90" s="6">
        <v>799000</v>
      </c>
      <c r="I90" s="5" t="s">
        <v>1</v>
      </c>
    </row>
    <row r="91" spans="1:9" ht="15.75" x14ac:dyDescent="0.25">
      <c r="A91" s="3" t="s">
        <v>35</v>
      </c>
      <c r="B91" s="8" t="s">
        <v>30</v>
      </c>
      <c r="C91" s="5" t="s">
        <v>61</v>
      </c>
      <c r="D91" s="5" t="s">
        <v>84</v>
      </c>
      <c r="E91" s="5">
        <v>23</v>
      </c>
      <c r="F91" s="5">
        <v>31</v>
      </c>
      <c r="G91" s="6">
        <v>32200</v>
      </c>
      <c r="H91" s="6">
        <v>43400</v>
      </c>
      <c r="I91" s="5" t="s">
        <v>1</v>
      </c>
    </row>
    <row r="92" spans="1:9" ht="15.75" x14ac:dyDescent="0.25">
      <c r="A92" s="3" t="s">
        <v>35</v>
      </c>
      <c r="B92" s="8" t="s">
        <v>36</v>
      </c>
      <c r="C92" s="5" t="s">
        <v>59</v>
      </c>
      <c r="D92" s="5" t="s">
        <v>82</v>
      </c>
      <c r="E92" s="5">
        <v>72</v>
      </c>
      <c r="F92" s="5">
        <v>72</v>
      </c>
      <c r="G92" s="6">
        <v>90000</v>
      </c>
      <c r="H92" s="6">
        <v>90000</v>
      </c>
      <c r="I92" s="5" t="s">
        <v>2</v>
      </c>
    </row>
    <row r="93" spans="1:9" ht="15.75" x14ac:dyDescent="0.25">
      <c r="A93" s="3" t="s">
        <v>35</v>
      </c>
      <c r="B93" s="8" t="s">
        <v>36</v>
      </c>
      <c r="C93" s="5" t="s">
        <v>59</v>
      </c>
      <c r="D93" s="5" t="s">
        <v>83</v>
      </c>
      <c r="E93" s="5">
        <v>20</v>
      </c>
      <c r="F93" s="5">
        <v>52</v>
      </c>
      <c r="G93" s="6">
        <v>170000</v>
      </c>
      <c r="H93" s="6">
        <v>442000</v>
      </c>
      <c r="I93" s="5" t="s">
        <v>2</v>
      </c>
    </row>
    <row r="94" spans="1:9" ht="15.75" x14ac:dyDescent="0.25">
      <c r="A94" s="3" t="s">
        <v>35</v>
      </c>
      <c r="B94" s="8" t="s">
        <v>36</v>
      </c>
      <c r="C94" s="5" t="s">
        <v>59</v>
      </c>
      <c r="D94" s="5" t="s">
        <v>84</v>
      </c>
      <c r="E94" s="5">
        <v>2</v>
      </c>
      <c r="F94" s="5">
        <v>18</v>
      </c>
      <c r="G94" s="6">
        <v>2800</v>
      </c>
      <c r="H94" s="6">
        <v>25200</v>
      </c>
      <c r="I94" s="5" t="s">
        <v>2</v>
      </c>
    </row>
    <row r="95" spans="1:9" ht="15.75" x14ac:dyDescent="0.25">
      <c r="A95" s="3" t="s">
        <v>35</v>
      </c>
      <c r="B95" s="8" t="s">
        <v>29</v>
      </c>
      <c r="C95" s="5" t="s">
        <v>60</v>
      </c>
      <c r="D95" s="5" t="s">
        <v>82</v>
      </c>
      <c r="E95" s="5">
        <v>37</v>
      </c>
      <c r="F95" s="5">
        <v>45</v>
      </c>
      <c r="G95" s="6">
        <v>46250</v>
      </c>
      <c r="H95" s="6">
        <v>56250</v>
      </c>
      <c r="I95" s="5" t="s">
        <v>2</v>
      </c>
    </row>
    <row r="96" spans="1:9" ht="15.75" x14ac:dyDescent="0.25">
      <c r="A96" s="3" t="s">
        <v>35</v>
      </c>
      <c r="B96" s="8" t="s">
        <v>29</v>
      </c>
      <c r="C96" s="5" t="s">
        <v>60</v>
      </c>
      <c r="D96" s="5" t="s">
        <v>83</v>
      </c>
      <c r="E96" s="5">
        <v>58</v>
      </c>
      <c r="F96" s="5">
        <v>103</v>
      </c>
      <c r="G96" s="6">
        <v>493000</v>
      </c>
      <c r="H96" s="6">
        <v>875500</v>
      </c>
      <c r="I96" s="5" t="s">
        <v>2</v>
      </c>
    </row>
    <row r="97" spans="1:9" ht="15.75" x14ac:dyDescent="0.25">
      <c r="A97" s="3" t="s">
        <v>35</v>
      </c>
      <c r="B97" s="8" t="s">
        <v>29</v>
      </c>
      <c r="C97" s="5" t="s">
        <v>60</v>
      </c>
      <c r="D97" s="5" t="s">
        <v>84</v>
      </c>
      <c r="E97" s="5">
        <v>12</v>
      </c>
      <c r="F97" s="5">
        <v>92</v>
      </c>
      <c r="G97" s="6">
        <v>16800</v>
      </c>
      <c r="H97" s="6">
        <v>128800</v>
      </c>
      <c r="I97" s="5" t="s">
        <v>2</v>
      </c>
    </row>
    <row r="98" spans="1:9" ht="15.75" x14ac:dyDescent="0.25">
      <c r="A98" s="3" t="s">
        <v>35</v>
      </c>
      <c r="B98" s="8" t="s">
        <v>30</v>
      </c>
      <c r="C98" s="5" t="s">
        <v>61</v>
      </c>
      <c r="D98" s="5" t="s">
        <v>82</v>
      </c>
      <c r="E98" s="5">
        <v>11</v>
      </c>
      <c r="F98" s="5">
        <v>28</v>
      </c>
      <c r="G98" s="6">
        <v>13750</v>
      </c>
      <c r="H98" s="6">
        <v>35000</v>
      </c>
      <c r="I98" s="5" t="s">
        <v>2</v>
      </c>
    </row>
    <row r="99" spans="1:9" ht="15.75" x14ac:dyDescent="0.25">
      <c r="A99" s="3" t="s">
        <v>35</v>
      </c>
      <c r="B99" s="8" t="s">
        <v>30</v>
      </c>
      <c r="C99" s="5" t="s">
        <v>61</v>
      </c>
      <c r="D99" s="5" t="s">
        <v>83</v>
      </c>
      <c r="E99" s="5">
        <v>13</v>
      </c>
      <c r="F99" s="5">
        <v>63</v>
      </c>
      <c r="G99" s="6">
        <v>110500</v>
      </c>
      <c r="H99" s="6">
        <v>535500</v>
      </c>
      <c r="I99" s="5" t="s">
        <v>2</v>
      </c>
    </row>
    <row r="100" spans="1:9" ht="15.75" x14ac:dyDescent="0.25">
      <c r="A100" s="3" t="s">
        <v>35</v>
      </c>
      <c r="B100" s="8" t="s">
        <v>30</v>
      </c>
      <c r="C100" s="5" t="s">
        <v>61</v>
      </c>
      <c r="D100" s="5" t="s">
        <v>84</v>
      </c>
      <c r="E100" s="5">
        <v>9</v>
      </c>
      <c r="F100" s="5">
        <v>11</v>
      </c>
      <c r="G100" s="6">
        <v>12600</v>
      </c>
      <c r="H100" s="6">
        <v>15400</v>
      </c>
      <c r="I100" s="5" t="s">
        <v>2</v>
      </c>
    </row>
    <row r="101" spans="1:9" ht="15.75" x14ac:dyDescent="0.25">
      <c r="A101" s="3" t="s">
        <v>35</v>
      </c>
      <c r="B101" s="8" t="s">
        <v>36</v>
      </c>
      <c r="C101" s="5" t="s">
        <v>59</v>
      </c>
      <c r="D101" s="5" t="s">
        <v>82</v>
      </c>
      <c r="E101" s="5">
        <v>7</v>
      </c>
      <c r="F101" s="5">
        <v>52</v>
      </c>
      <c r="G101" s="6">
        <v>8750</v>
      </c>
      <c r="H101" s="6">
        <v>65000</v>
      </c>
      <c r="I101" s="5" t="s">
        <v>7</v>
      </c>
    </row>
    <row r="102" spans="1:9" ht="15.75" x14ac:dyDescent="0.25">
      <c r="A102" s="3" t="s">
        <v>35</v>
      </c>
      <c r="B102" s="8" t="s">
        <v>36</v>
      </c>
      <c r="C102" s="5" t="s">
        <v>59</v>
      </c>
      <c r="D102" s="5" t="s">
        <v>83</v>
      </c>
      <c r="E102" s="5">
        <v>3</v>
      </c>
      <c r="F102" s="5">
        <v>10</v>
      </c>
      <c r="G102" s="6">
        <v>25500</v>
      </c>
      <c r="H102" s="6">
        <v>85000</v>
      </c>
      <c r="I102" s="5" t="s">
        <v>7</v>
      </c>
    </row>
    <row r="103" spans="1:9" ht="15.75" x14ac:dyDescent="0.25">
      <c r="A103" s="3" t="s">
        <v>35</v>
      </c>
      <c r="B103" s="8" t="s">
        <v>36</v>
      </c>
      <c r="C103" s="5" t="s">
        <v>59</v>
      </c>
      <c r="D103" s="5" t="s">
        <v>84</v>
      </c>
      <c r="E103" s="5">
        <v>1</v>
      </c>
      <c r="F103" s="5">
        <v>3</v>
      </c>
      <c r="G103" s="6">
        <v>1400</v>
      </c>
      <c r="H103" s="6">
        <v>4200</v>
      </c>
      <c r="I103" s="5" t="s">
        <v>7</v>
      </c>
    </row>
    <row r="104" spans="1:9" ht="15.75" x14ac:dyDescent="0.25">
      <c r="A104" s="3" t="s">
        <v>35</v>
      </c>
      <c r="B104" s="8" t="s">
        <v>29</v>
      </c>
      <c r="C104" s="5" t="s">
        <v>60</v>
      </c>
      <c r="D104" s="5" t="s">
        <v>82</v>
      </c>
      <c r="E104" s="5">
        <v>55</v>
      </c>
      <c r="F104" s="5">
        <v>56</v>
      </c>
      <c r="G104" s="6">
        <v>68750</v>
      </c>
      <c r="H104" s="6">
        <v>70000</v>
      </c>
      <c r="I104" s="5" t="s">
        <v>7</v>
      </c>
    </row>
    <row r="105" spans="1:9" ht="15.75" x14ac:dyDescent="0.25">
      <c r="A105" s="3" t="s">
        <v>35</v>
      </c>
      <c r="B105" s="8" t="s">
        <v>29</v>
      </c>
      <c r="C105" s="5" t="s">
        <v>60</v>
      </c>
      <c r="D105" s="5" t="s">
        <v>83</v>
      </c>
      <c r="E105" s="5">
        <v>39</v>
      </c>
      <c r="F105" s="5">
        <v>76</v>
      </c>
      <c r="G105" s="6">
        <v>331500</v>
      </c>
      <c r="H105" s="6">
        <v>646000</v>
      </c>
      <c r="I105" s="5" t="s">
        <v>7</v>
      </c>
    </row>
    <row r="106" spans="1:9" ht="15.75" x14ac:dyDescent="0.25">
      <c r="A106" s="3" t="s">
        <v>35</v>
      </c>
      <c r="B106" s="8" t="s">
        <v>29</v>
      </c>
      <c r="C106" s="5" t="s">
        <v>60</v>
      </c>
      <c r="D106" s="5" t="s">
        <v>84</v>
      </c>
      <c r="E106" s="5">
        <v>31</v>
      </c>
      <c r="F106" s="5">
        <v>57</v>
      </c>
      <c r="G106" s="6">
        <v>43400</v>
      </c>
      <c r="H106" s="6">
        <v>79800</v>
      </c>
      <c r="I106" s="5" t="s">
        <v>7</v>
      </c>
    </row>
    <row r="107" spans="1:9" ht="15.75" x14ac:dyDescent="0.25">
      <c r="A107" s="3" t="s">
        <v>35</v>
      </c>
      <c r="B107" s="8" t="s">
        <v>30</v>
      </c>
      <c r="C107" s="5" t="s">
        <v>61</v>
      </c>
      <c r="D107" s="5" t="s">
        <v>82</v>
      </c>
      <c r="E107" s="5">
        <v>3</v>
      </c>
      <c r="F107" s="5">
        <v>20</v>
      </c>
      <c r="G107" s="6">
        <v>3750</v>
      </c>
      <c r="H107" s="6">
        <v>25000</v>
      </c>
      <c r="I107" s="5" t="s">
        <v>7</v>
      </c>
    </row>
    <row r="108" spans="1:9" ht="15.75" x14ac:dyDescent="0.25">
      <c r="A108" s="3" t="s">
        <v>35</v>
      </c>
      <c r="B108" s="8" t="s">
        <v>30</v>
      </c>
      <c r="C108" s="5" t="s">
        <v>61</v>
      </c>
      <c r="D108" s="5" t="s">
        <v>83</v>
      </c>
      <c r="E108" s="5">
        <v>88</v>
      </c>
      <c r="F108" s="5">
        <v>120</v>
      </c>
      <c r="G108" s="6">
        <v>748000</v>
      </c>
      <c r="H108" s="6">
        <v>1020000</v>
      </c>
      <c r="I108" s="5" t="s">
        <v>7</v>
      </c>
    </row>
    <row r="109" spans="1:9" ht="15.75" x14ac:dyDescent="0.25">
      <c r="A109" s="3" t="s">
        <v>35</v>
      </c>
      <c r="B109" s="8" t="s">
        <v>30</v>
      </c>
      <c r="C109" s="5" t="s">
        <v>61</v>
      </c>
      <c r="D109" s="5" t="s">
        <v>84</v>
      </c>
      <c r="E109" s="5">
        <v>5</v>
      </c>
      <c r="F109" s="5">
        <v>11</v>
      </c>
      <c r="G109" s="6">
        <v>7000</v>
      </c>
      <c r="H109" s="6">
        <v>15400</v>
      </c>
      <c r="I109" s="5" t="s">
        <v>7</v>
      </c>
    </row>
    <row r="110" spans="1:9" ht="15.75" x14ac:dyDescent="0.25">
      <c r="A110" s="3" t="s">
        <v>23</v>
      </c>
      <c r="B110" s="8" t="s">
        <v>37</v>
      </c>
      <c r="C110" s="5" t="s">
        <v>62</v>
      </c>
      <c r="D110" s="5" t="s">
        <v>82</v>
      </c>
      <c r="E110" s="5">
        <v>18</v>
      </c>
      <c r="F110" s="5">
        <v>24</v>
      </c>
      <c r="G110" s="6">
        <v>22500</v>
      </c>
      <c r="H110" s="6">
        <v>30000</v>
      </c>
      <c r="I110" s="5" t="s">
        <v>8</v>
      </c>
    </row>
    <row r="111" spans="1:9" ht="15.75" x14ac:dyDescent="0.25">
      <c r="A111" s="3" t="s">
        <v>23</v>
      </c>
      <c r="B111" s="8" t="s">
        <v>37</v>
      </c>
      <c r="C111" s="5" t="s">
        <v>62</v>
      </c>
      <c r="D111" s="5" t="s">
        <v>83</v>
      </c>
      <c r="E111" s="5">
        <v>9</v>
      </c>
      <c r="F111" s="5">
        <v>21</v>
      </c>
      <c r="G111" s="6">
        <v>76500</v>
      </c>
      <c r="H111" s="6">
        <v>178500</v>
      </c>
      <c r="I111" s="5" t="s">
        <v>8</v>
      </c>
    </row>
    <row r="112" spans="1:9" ht="15.75" x14ac:dyDescent="0.25">
      <c r="A112" s="3" t="s">
        <v>23</v>
      </c>
      <c r="B112" s="8" t="s">
        <v>37</v>
      </c>
      <c r="C112" s="5" t="s">
        <v>62</v>
      </c>
      <c r="D112" s="5" t="s">
        <v>84</v>
      </c>
      <c r="E112" s="5">
        <v>78</v>
      </c>
      <c r="F112" s="5">
        <v>90</v>
      </c>
      <c r="G112" s="6">
        <v>109200</v>
      </c>
      <c r="H112" s="6">
        <v>126000</v>
      </c>
      <c r="I112" s="5" t="s">
        <v>8</v>
      </c>
    </row>
    <row r="113" spans="1:9" ht="15.75" x14ac:dyDescent="0.25">
      <c r="A113" s="3" t="s">
        <v>23</v>
      </c>
      <c r="B113" s="8" t="s">
        <v>38</v>
      </c>
      <c r="C113" s="5" t="s">
        <v>63</v>
      </c>
      <c r="D113" s="5" t="s">
        <v>82</v>
      </c>
      <c r="E113" s="5">
        <v>13</v>
      </c>
      <c r="F113" s="5">
        <v>17</v>
      </c>
      <c r="G113" s="6">
        <v>16250</v>
      </c>
      <c r="H113" s="6">
        <v>21250</v>
      </c>
      <c r="I113" s="5" t="s">
        <v>8</v>
      </c>
    </row>
    <row r="114" spans="1:9" ht="15.75" x14ac:dyDescent="0.25">
      <c r="A114" s="3" t="s">
        <v>23</v>
      </c>
      <c r="B114" s="8" t="s">
        <v>38</v>
      </c>
      <c r="C114" s="5" t="s">
        <v>63</v>
      </c>
      <c r="D114" s="5" t="s">
        <v>83</v>
      </c>
      <c r="E114" s="5">
        <v>6</v>
      </c>
      <c r="F114" s="5">
        <v>8</v>
      </c>
      <c r="G114" s="6">
        <v>51000</v>
      </c>
      <c r="H114" s="6">
        <v>68000</v>
      </c>
      <c r="I114" s="5" t="s">
        <v>8</v>
      </c>
    </row>
    <row r="115" spans="1:9" ht="15.75" x14ac:dyDescent="0.25">
      <c r="A115" s="3" t="s">
        <v>23</v>
      </c>
      <c r="B115" s="8" t="s">
        <v>38</v>
      </c>
      <c r="C115" s="5" t="s">
        <v>63</v>
      </c>
      <c r="D115" s="5" t="s">
        <v>84</v>
      </c>
      <c r="E115" s="5">
        <v>12</v>
      </c>
      <c r="F115" s="5">
        <v>37</v>
      </c>
      <c r="G115" s="6">
        <v>16800</v>
      </c>
      <c r="H115" s="6">
        <v>51800</v>
      </c>
      <c r="I115" s="5" t="s">
        <v>8</v>
      </c>
    </row>
    <row r="116" spans="1:9" ht="15.75" x14ac:dyDescent="0.25">
      <c r="A116" s="3" t="s">
        <v>23</v>
      </c>
      <c r="B116" s="8" t="s">
        <v>37</v>
      </c>
      <c r="C116" s="5" t="s">
        <v>62</v>
      </c>
      <c r="D116" s="5" t="s">
        <v>82</v>
      </c>
      <c r="E116" s="5">
        <v>9</v>
      </c>
      <c r="F116" s="5">
        <v>10</v>
      </c>
      <c r="G116" s="6">
        <v>11250</v>
      </c>
      <c r="H116" s="6">
        <v>12500</v>
      </c>
      <c r="I116" s="5" t="s">
        <v>12</v>
      </c>
    </row>
    <row r="117" spans="1:9" ht="15.75" x14ac:dyDescent="0.25">
      <c r="A117" s="3" t="s">
        <v>23</v>
      </c>
      <c r="B117" s="8" t="s">
        <v>37</v>
      </c>
      <c r="C117" s="5" t="s">
        <v>62</v>
      </c>
      <c r="D117" s="5" t="s">
        <v>83</v>
      </c>
      <c r="E117" s="5">
        <v>14</v>
      </c>
      <c r="F117" s="5">
        <v>78</v>
      </c>
      <c r="G117" s="6">
        <v>119000</v>
      </c>
      <c r="H117" s="6">
        <v>663000</v>
      </c>
      <c r="I117" s="5" t="s">
        <v>12</v>
      </c>
    </row>
    <row r="118" spans="1:9" ht="15.75" x14ac:dyDescent="0.25">
      <c r="A118" s="3" t="s">
        <v>23</v>
      </c>
      <c r="B118" s="8" t="s">
        <v>37</v>
      </c>
      <c r="C118" s="5" t="s">
        <v>62</v>
      </c>
      <c r="D118" s="5" t="s">
        <v>84</v>
      </c>
      <c r="E118" s="5">
        <v>6</v>
      </c>
      <c r="F118" s="5">
        <v>17</v>
      </c>
      <c r="G118" s="6">
        <v>8400</v>
      </c>
      <c r="H118" s="6">
        <v>23800</v>
      </c>
      <c r="I118" s="5" t="s">
        <v>12</v>
      </c>
    </row>
    <row r="119" spans="1:9" ht="15.75" x14ac:dyDescent="0.25">
      <c r="A119" s="3" t="s">
        <v>23</v>
      </c>
      <c r="B119" s="8" t="s">
        <v>38</v>
      </c>
      <c r="C119" s="5" t="s">
        <v>63</v>
      </c>
      <c r="D119" s="5" t="s">
        <v>82</v>
      </c>
      <c r="E119" s="5">
        <v>4</v>
      </c>
      <c r="F119" s="5">
        <v>5</v>
      </c>
      <c r="G119" s="6">
        <v>5000</v>
      </c>
      <c r="H119" s="6">
        <v>6250</v>
      </c>
      <c r="I119" s="5" t="s">
        <v>12</v>
      </c>
    </row>
    <row r="120" spans="1:9" ht="15.75" x14ac:dyDescent="0.25">
      <c r="A120" s="3" t="s">
        <v>23</v>
      </c>
      <c r="B120" s="8" t="s">
        <v>38</v>
      </c>
      <c r="C120" s="5" t="s">
        <v>63</v>
      </c>
      <c r="D120" s="5" t="s">
        <v>83</v>
      </c>
      <c r="E120" s="5">
        <v>35</v>
      </c>
      <c r="F120" s="5">
        <v>70</v>
      </c>
      <c r="G120" s="6">
        <v>297500</v>
      </c>
      <c r="H120" s="6">
        <v>595000</v>
      </c>
      <c r="I120" s="5" t="s">
        <v>12</v>
      </c>
    </row>
    <row r="121" spans="1:9" ht="15.75" x14ac:dyDescent="0.25">
      <c r="A121" s="3" t="s">
        <v>23</v>
      </c>
      <c r="B121" s="8" t="s">
        <v>38</v>
      </c>
      <c r="C121" s="5" t="s">
        <v>63</v>
      </c>
      <c r="D121" s="5" t="s">
        <v>84</v>
      </c>
      <c r="E121" s="5">
        <v>3</v>
      </c>
      <c r="F121" s="5">
        <v>17</v>
      </c>
      <c r="G121" s="6">
        <v>4200</v>
      </c>
      <c r="H121" s="6">
        <v>23800</v>
      </c>
      <c r="I121" s="5" t="s">
        <v>12</v>
      </c>
    </row>
    <row r="122" spans="1:9" ht="15.75" x14ac:dyDescent="0.25">
      <c r="A122" s="3" t="s">
        <v>23</v>
      </c>
      <c r="B122" s="8" t="s">
        <v>37</v>
      </c>
      <c r="C122" s="5" t="s">
        <v>62</v>
      </c>
      <c r="D122" s="5" t="s">
        <v>82</v>
      </c>
      <c r="E122" s="5">
        <v>26</v>
      </c>
      <c r="F122" s="5">
        <v>35</v>
      </c>
      <c r="G122" s="6">
        <v>32500</v>
      </c>
      <c r="H122" s="6">
        <v>43750</v>
      </c>
      <c r="I122" s="5" t="s">
        <v>10</v>
      </c>
    </row>
    <row r="123" spans="1:9" ht="15.75" x14ac:dyDescent="0.25">
      <c r="A123" s="3" t="s">
        <v>23</v>
      </c>
      <c r="B123" s="8" t="s">
        <v>37</v>
      </c>
      <c r="C123" s="5" t="s">
        <v>62</v>
      </c>
      <c r="D123" s="5" t="s">
        <v>83</v>
      </c>
      <c r="E123" s="5">
        <v>44</v>
      </c>
      <c r="F123" s="5">
        <v>44</v>
      </c>
      <c r="G123" s="6">
        <v>374000</v>
      </c>
      <c r="H123" s="6">
        <v>374000</v>
      </c>
      <c r="I123" s="5" t="s">
        <v>10</v>
      </c>
    </row>
    <row r="124" spans="1:9" ht="15.75" x14ac:dyDescent="0.25">
      <c r="A124" s="3" t="s">
        <v>23</v>
      </c>
      <c r="B124" s="8" t="s">
        <v>37</v>
      </c>
      <c r="C124" s="5" t="s">
        <v>62</v>
      </c>
      <c r="D124" s="5" t="s">
        <v>84</v>
      </c>
      <c r="E124" s="5">
        <v>13</v>
      </c>
      <c r="F124" s="5">
        <v>42</v>
      </c>
      <c r="G124" s="6">
        <v>18200</v>
      </c>
      <c r="H124" s="6">
        <v>58800</v>
      </c>
      <c r="I124" s="5" t="s">
        <v>10</v>
      </c>
    </row>
    <row r="125" spans="1:9" ht="15.75" x14ac:dyDescent="0.25">
      <c r="A125" s="3" t="s">
        <v>23</v>
      </c>
      <c r="B125" s="8" t="s">
        <v>38</v>
      </c>
      <c r="C125" s="5" t="s">
        <v>63</v>
      </c>
      <c r="D125" s="5" t="s">
        <v>82</v>
      </c>
      <c r="E125" s="5">
        <v>1</v>
      </c>
      <c r="F125" s="5">
        <v>10</v>
      </c>
      <c r="G125" s="6">
        <v>1250</v>
      </c>
      <c r="H125" s="6">
        <v>12500</v>
      </c>
      <c r="I125" s="5" t="s">
        <v>10</v>
      </c>
    </row>
    <row r="126" spans="1:9" ht="15.75" x14ac:dyDescent="0.25">
      <c r="A126" s="3" t="s">
        <v>23</v>
      </c>
      <c r="B126" s="8" t="s">
        <v>38</v>
      </c>
      <c r="C126" s="5" t="s">
        <v>63</v>
      </c>
      <c r="D126" s="5" t="s">
        <v>83</v>
      </c>
      <c r="E126" s="5">
        <v>4</v>
      </c>
      <c r="F126" s="5">
        <v>14</v>
      </c>
      <c r="G126" s="6">
        <v>34000</v>
      </c>
      <c r="H126" s="6">
        <v>119000</v>
      </c>
      <c r="I126" s="5" t="s">
        <v>10</v>
      </c>
    </row>
    <row r="127" spans="1:9" ht="15.75" x14ac:dyDescent="0.25">
      <c r="A127" s="3" t="s">
        <v>23</v>
      </c>
      <c r="B127" s="8" t="s">
        <v>38</v>
      </c>
      <c r="C127" s="5" t="s">
        <v>63</v>
      </c>
      <c r="D127" s="5" t="s">
        <v>84</v>
      </c>
      <c r="E127" s="5">
        <v>11</v>
      </c>
      <c r="F127" s="5">
        <v>69</v>
      </c>
      <c r="G127" s="6">
        <v>15400</v>
      </c>
      <c r="H127" s="6">
        <v>96600</v>
      </c>
      <c r="I127" s="5" t="s">
        <v>10</v>
      </c>
    </row>
    <row r="128" spans="1:9" ht="15.75" x14ac:dyDescent="0.25">
      <c r="A128" s="3" t="s">
        <v>23</v>
      </c>
      <c r="B128" s="8" t="s">
        <v>37</v>
      </c>
      <c r="C128" s="5" t="s">
        <v>62</v>
      </c>
      <c r="D128" s="5" t="s">
        <v>82</v>
      </c>
      <c r="E128" s="5">
        <v>21</v>
      </c>
      <c r="F128" s="5">
        <v>41</v>
      </c>
      <c r="G128" s="6">
        <v>26250</v>
      </c>
      <c r="H128" s="6">
        <v>51250</v>
      </c>
      <c r="I128" s="5" t="s">
        <v>9</v>
      </c>
    </row>
    <row r="129" spans="1:9" ht="15.75" x14ac:dyDescent="0.25">
      <c r="A129" s="3" t="s">
        <v>23</v>
      </c>
      <c r="B129" s="8" t="s">
        <v>37</v>
      </c>
      <c r="C129" s="5" t="s">
        <v>62</v>
      </c>
      <c r="D129" s="5" t="s">
        <v>83</v>
      </c>
      <c r="E129" s="5">
        <v>12</v>
      </c>
      <c r="F129" s="5">
        <v>129</v>
      </c>
      <c r="G129" s="6">
        <v>102000</v>
      </c>
      <c r="H129" s="6">
        <v>1096500</v>
      </c>
      <c r="I129" s="5" t="s">
        <v>9</v>
      </c>
    </row>
    <row r="130" spans="1:9" ht="15.75" x14ac:dyDescent="0.25">
      <c r="A130" s="3" t="s">
        <v>23</v>
      </c>
      <c r="B130" s="8" t="s">
        <v>37</v>
      </c>
      <c r="C130" s="5" t="s">
        <v>62</v>
      </c>
      <c r="D130" s="5" t="s">
        <v>84</v>
      </c>
      <c r="E130" s="5">
        <v>32</v>
      </c>
      <c r="F130" s="5">
        <v>103</v>
      </c>
      <c r="G130" s="6">
        <v>44800</v>
      </c>
      <c r="H130" s="6">
        <v>144200</v>
      </c>
      <c r="I130" s="5" t="s">
        <v>9</v>
      </c>
    </row>
    <row r="131" spans="1:9" ht="15.75" x14ac:dyDescent="0.25">
      <c r="A131" s="3" t="s">
        <v>23</v>
      </c>
      <c r="B131" s="8" t="s">
        <v>38</v>
      </c>
      <c r="C131" s="5" t="s">
        <v>63</v>
      </c>
      <c r="D131" s="5" t="s">
        <v>82</v>
      </c>
      <c r="E131" s="5">
        <v>51</v>
      </c>
      <c r="F131" s="5">
        <v>63</v>
      </c>
      <c r="G131" s="6">
        <v>63750</v>
      </c>
      <c r="H131" s="6">
        <v>78750</v>
      </c>
      <c r="I131" s="5" t="s">
        <v>9</v>
      </c>
    </row>
    <row r="132" spans="1:9" ht="15.75" x14ac:dyDescent="0.25">
      <c r="A132" s="3" t="s">
        <v>23</v>
      </c>
      <c r="B132" s="8" t="s">
        <v>38</v>
      </c>
      <c r="C132" s="5" t="s">
        <v>63</v>
      </c>
      <c r="D132" s="5" t="s">
        <v>83</v>
      </c>
      <c r="E132" s="5">
        <v>75</v>
      </c>
      <c r="F132" s="5">
        <v>75</v>
      </c>
      <c r="G132" s="6">
        <v>637500</v>
      </c>
      <c r="H132" s="6">
        <v>637500</v>
      </c>
      <c r="I132" s="5" t="s">
        <v>9</v>
      </c>
    </row>
    <row r="133" spans="1:9" ht="15.75" x14ac:dyDescent="0.25">
      <c r="A133" s="3" t="s">
        <v>23</v>
      </c>
      <c r="B133" s="8" t="s">
        <v>38</v>
      </c>
      <c r="C133" s="5" t="s">
        <v>63</v>
      </c>
      <c r="D133" s="5" t="s">
        <v>84</v>
      </c>
      <c r="E133" s="5">
        <v>4</v>
      </c>
      <c r="F133" s="5">
        <v>27</v>
      </c>
      <c r="G133" s="6">
        <v>5600</v>
      </c>
      <c r="H133" s="6">
        <v>37800</v>
      </c>
      <c r="I133" s="5" t="s">
        <v>9</v>
      </c>
    </row>
    <row r="134" spans="1:9" ht="15.75" x14ac:dyDescent="0.25">
      <c r="A134" s="3" t="s">
        <v>23</v>
      </c>
      <c r="B134" s="8" t="s">
        <v>37</v>
      </c>
      <c r="C134" s="5" t="s">
        <v>62</v>
      </c>
      <c r="D134" s="5" t="s">
        <v>82</v>
      </c>
      <c r="E134" s="5">
        <v>17</v>
      </c>
      <c r="F134" s="5">
        <v>36</v>
      </c>
      <c r="G134" s="6">
        <v>21250</v>
      </c>
      <c r="H134" s="6">
        <v>45000</v>
      </c>
      <c r="I134" s="5" t="s">
        <v>6</v>
      </c>
    </row>
    <row r="135" spans="1:9" ht="15.75" x14ac:dyDescent="0.25">
      <c r="A135" s="3" t="s">
        <v>23</v>
      </c>
      <c r="B135" s="8" t="s">
        <v>37</v>
      </c>
      <c r="C135" s="5" t="s">
        <v>62</v>
      </c>
      <c r="D135" s="5" t="s">
        <v>83</v>
      </c>
      <c r="E135" s="5">
        <v>50</v>
      </c>
      <c r="F135" s="5">
        <v>95</v>
      </c>
      <c r="G135" s="6">
        <v>425000</v>
      </c>
      <c r="H135" s="6">
        <v>807500</v>
      </c>
      <c r="I135" s="5" t="s">
        <v>6</v>
      </c>
    </row>
    <row r="136" spans="1:9" ht="15.75" x14ac:dyDescent="0.25">
      <c r="A136" s="3" t="s">
        <v>23</v>
      </c>
      <c r="B136" s="8" t="s">
        <v>37</v>
      </c>
      <c r="C136" s="5" t="s">
        <v>62</v>
      </c>
      <c r="D136" s="5" t="s">
        <v>84</v>
      </c>
      <c r="E136" s="5">
        <v>26</v>
      </c>
      <c r="F136" s="5">
        <v>70</v>
      </c>
      <c r="G136" s="6">
        <v>36400</v>
      </c>
      <c r="H136" s="6">
        <v>98000</v>
      </c>
      <c r="I136" s="5" t="s">
        <v>6</v>
      </c>
    </row>
    <row r="137" spans="1:9" ht="15.75" x14ac:dyDescent="0.25">
      <c r="A137" s="3" t="s">
        <v>23</v>
      </c>
      <c r="B137" s="8" t="s">
        <v>38</v>
      </c>
      <c r="C137" s="5" t="s">
        <v>63</v>
      </c>
      <c r="D137" s="5" t="s">
        <v>82</v>
      </c>
      <c r="E137" s="5">
        <v>2</v>
      </c>
      <c r="F137" s="5">
        <v>6</v>
      </c>
      <c r="G137" s="6">
        <v>2500</v>
      </c>
      <c r="H137" s="6">
        <v>7500</v>
      </c>
      <c r="I137" s="5" t="s">
        <v>6</v>
      </c>
    </row>
    <row r="138" spans="1:9" ht="15.75" x14ac:dyDescent="0.25">
      <c r="A138" s="3" t="s">
        <v>23</v>
      </c>
      <c r="B138" s="8" t="s">
        <v>38</v>
      </c>
      <c r="C138" s="5" t="s">
        <v>63</v>
      </c>
      <c r="D138" s="5" t="s">
        <v>83</v>
      </c>
      <c r="E138" s="5">
        <v>1</v>
      </c>
      <c r="F138" s="5">
        <v>4</v>
      </c>
      <c r="G138" s="6">
        <v>8500</v>
      </c>
      <c r="H138" s="6">
        <v>34000</v>
      </c>
      <c r="I138" s="5" t="s">
        <v>6</v>
      </c>
    </row>
    <row r="139" spans="1:9" ht="15.75" x14ac:dyDescent="0.25">
      <c r="A139" s="3" t="s">
        <v>23</v>
      </c>
      <c r="B139" s="8" t="s">
        <v>38</v>
      </c>
      <c r="C139" s="5" t="s">
        <v>63</v>
      </c>
      <c r="D139" s="5" t="s">
        <v>84</v>
      </c>
      <c r="E139" s="5">
        <v>20</v>
      </c>
      <c r="F139" s="5">
        <v>57</v>
      </c>
      <c r="G139" s="6">
        <v>28000</v>
      </c>
      <c r="H139" s="6">
        <v>79800</v>
      </c>
      <c r="I139" s="5" t="s">
        <v>6</v>
      </c>
    </row>
    <row r="140" spans="1:9" ht="15.75" x14ac:dyDescent="0.25">
      <c r="A140" s="3" t="s">
        <v>23</v>
      </c>
      <c r="B140" s="8" t="s">
        <v>37</v>
      </c>
      <c r="C140" s="5" t="s">
        <v>62</v>
      </c>
      <c r="D140" s="5" t="s">
        <v>82</v>
      </c>
      <c r="E140" s="5">
        <v>89</v>
      </c>
      <c r="F140" s="5">
        <v>99</v>
      </c>
      <c r="G140" s="6">
        <v>111250</v>
      </c>
      <c r="H140" s="6">
        <v>123750</v>
      </c>
      <c r="I140" s="5" t="s">
        <v>11</v>
      </c>
    </row>
    <row r="141" spans="1:9" ht="15.75" x14ac:dyDescent="0.25">
      <c r="A141" s="3" t="s">
        <v>23</v>
      </c>
      <c r="B141" s="8" t="s">
        <v>37</v>
      </c>
      <c r="C141" s="5" t="s">
        <v>62</v>
      </c>
      <c r="D141" s="5" t="s">
        <v>83</v>
      </c>
      <c r="E141" s="5">
        <v>6</v>
      </c>
      <c r="F141" s="5">
        <v>13</v>
      </c>
      <c r="G141" s="6">
        <v>51000</v>
      </c>
      <c r="H141" s="6">
        <v>110500</v>
      </c>
      <c r="I141" s="5" t="s">
        <v>11</v>
      </c>
    </row>
    <row r="142" spans="1:9" ht="15.75" x14ac:dyDescent="0.25">
      <c r="A142" s="3" t="s">
        <v>23</v>
      </c>
      <c r="B142" s="8" t="s">
        <v>37</v>
      </c>
      <c r="C142" s="5" t="s">
        <v>62</v>
      </c>
      <c r="D142" s="5" t="s">
        <v>84</v>
      </c>
      <c r="E142" s="5">
        <v>23</v>
      </c>
      <c r="F142" s="5">
        <v>26</v>
      </c>
      <c r="G142" s="6">
        <v>32200</v>
      </c>
      <c r="H142" s="6">
        <v>36400</v>
      </c>
      <c r="I142" s="5" t="s">
        <v>11</v>
      </c>
    </row>
    <row r="143" spans="1:9" ht="15.75" x14ac:dyDescent="0.25">
      <c r="A143" s="3" t="s">
        <v>23</v>
      </c>
      <c r="B143" s="8" t="s">
        <v>38</v>
      </c>
      <c r="C143" s="5" t="s">
        <v>63</v>
      </c>
      <c r="D143" s="5" t="s">
        <v>82</v>
      </c>
      <c r="E143" s="5">
        <v>64</v>
      </c>
      <c r="F143" s="5">
        <v>73</v>
      </c>
      <c r="G143" s="6">
        <v>80000</v>
      </c>
      <c r="H143" s="6">
        <v>91250</v>
      </c>
      <c r="I143" s="5" t="s">
        <v>11</v>
      </c>
    </row>
    <row r="144" spans="1:9" ht="15.75" x14ac:dyDescent="0.25">
      <c r="A144" s="3" t="s">
        <v>23</v>
      </c>
      <c r="B144" s="8" t="s">
        <v>38</v>
      </c>
      <c r="C144" s="5" t="s">
        <v>63</v>
      </c>
      <c r="D144" s="5" t="s">
        <v>83</v>
      </c>
      <c r="E144" s="5">
        <v>11</v>
      </c>
      <c r="F144" s="5">
        <v>17</v>
      </c>
      <c r="G144" s="6">
        <v>93500</v>
      </c>
      <c r="H144" s="6">
        <v>144500</v>
      </c>
      <c r="I144" s="5" t="s">
        <v>11</v>
      </c>
    </row>
    <row r="145" spans="1:9" ht="15.75" x14ac:dyDescent="0.25">
      <c r="A145" s="3" t="s">
        <v>23</v>
      </c>
      <c r="B145" s="8" t="s">
        <v>38</v>
      </c>
      <c r="C145" s="5" t="s">
        <v>63</v>
      </c>
      <c r="D145" s="5" t="s">
        <v>84</v>
      </c>
      <c r="E145" s="5">
        <v>3</v>
      </c>
      <c r="F145" s="5">
        <v>5</v>
      </c>
      <c r="G145" s="6">
        <v>4200</v>
      </c>
      <c r="H145" s="6">
        <v>7000</v>
      </c>
      <c r="I145" s="5" t="s">
        <v>11</v>
      </c>
    </row>
    <row r="146" spans="1:9" ht="15.75" x14ac:dyDescent="0.25">
      <c r="A146" s="3" t="s">
        <v>23</v>
      </c>
      <c r="B146" s="8" t="s">
        <v>37</v>
      </c>
      <c r="C146" s="5" t="s">
        <v>62</v>
      </c>
      <c r="D146" s="5" t="s">
        <v>82</v>
      </c>
      <c r="E146" s="5">
        <v>12</v>
      </c>
      <c r="F146" s="5">
        <v>28</v>
      </c>
      <c r="G146" s="6">
        <v>15000</v>
      </c>
      <c r="H146" s="6">
        <v>35000</v>
      </c>
      <c r="I146" s="5" t="s">
        <v>3</v>
      </c>
    </row>
    <row r="147" spans="1:9" ht="15.75" x14ac:dyDescent="0.25">
      <c r="A147" s="3" t="s">
        <v>23</v>
      </c>
      <c r="B147" s="8" t="s">
        <v>37</v>
      </c>
      <c r="C147" s="5" t="s">
        <v>62</v>
      </c>
      <c r="D147" s="5" t="s">
        <v>83</v>
      </c>
      <c r="E147" s="5">
        <v>2</v>
      </c>
      <c r="F147" s="5">
        <v>23</v>
      </c>
      <c r="G147" s="6">
        <v>17000</v>
      </c>
      <c r="H147" s="6">
        <v>195500</v>
      </c>
      <c r="I147" s="5" t="s">
        <v>3</v>
      </c>
    </row>
    <row r="148" spans="1:9" ht="15.75" x14ac:dyDescent="0.25">
      <c r="A148" s="3" t="s">
        <v>23</v>
      </c>
      <c r="B148" s="8" t="s">
        <v>37</v>
      </c>
      <c r="C148" s="5" t="s">
        <v>62</v>
      </c>
      <c r="D148" s="5" t="s">
        <v>84</v>
      </c>
      <c r="E148" s="5">
        <v>10</v>
      </c>
      <c r="F148" s="5">
        <v>16</v>
      </c>
      <c r="G148" s="6">
        <v>14000</v>
      </c>
      <c r="H148" s="6">
        <v>22400</v>
      </c>
      <c r="I148" s="5" t="s">
        <v>3</v>
      </c>
    </row>
    <row r="149" spans="1:9" ht="15.75" x14ac:dyDescent="0.25">
      <c r="A149" s="3" t="s">
        <v>23</v>
      </c>
      <c r="B149" s="8" t="s">
        <v>38</v>
      </c>
      <c r="C149" s="5" t="s">
        <v>63</v>
      </c>
      <c r="D149" s="5" t="s">
        <v>82</v>
      </c>
      <c r="E149" s="5">
        <v>28</v>
      </c>
      <c r="F149" s="5">
        <v>34</v>
      </c>
      <c r="G149" s="6">
        <v>35000</v>
      </c>
      <c r="H149" s="6">
        <v>42500</v>
      </c>
      <c r="I149" s="5" t="s">
        <v>3</v>
      </c>
    </row>
    <row r="150" spans="1:9" ht="15.75" x14ac:dyDescent="0.25">
      <c r="A150" s="3" t="s">
        <v>23</v>
      </c>
      <c r="B150" s="8" t="s">
        <v>38</v>
      </c>
      <c r="C150" s="5" t="s">
        <v>63</v>
      </c>
      <c r="D150" s="5" t="s">
        <v>83</v>
      </c>
      <c r="E150" s="5">
        <v>31</v>
      </c>
      <c r="F150" s="5">
        <v>52</v>
      </c>
      <c r="G150" s="6">
        <v>263500</v>
      </c>
      <c r="H150" s="6">
        <v>442000</v>
      </c>
      <c r="I150" s="5" t="s">
        <v>3</v>
      </c>
    </row>
    <row r="151" spans="1:9" ht="15.75" x14ac:dyDescent="0.25">
      <c r="A151" s="3" t="s">
        <v>23</v>
      </c>
      <c r="B151" s="8" t="s">
        <v>38</v>
      </c>
      <c r="C151" s="5" t="s">
        <v>63</v>
      </c>
      <c r="D151" s="5" t="s">
        <v>84</v>
      </c>
      <c r="E151" s="5">
        <v>2</v>
      </c>
      <c r="F151" s="5">
        <v>9</v>
      </c>
      <c r="G151" s="6">
        <v>2800</v>
      </c>
      <c r="H151" s="6">
        <v>12600</v>
      </c>
      <c r="I151" s="5" t="s">
        <v>3</v>
      </c>
    </row>
    <row r="152" spans="1:9" ht="15.75" x14ac:dyDescent="0.25">
      <c r="A152" s="3" t="s">
        <v>23</v>
      </c>
      <c r="B152" s="8" t="s">
        <v>37</v>
      </c>
      <c r="C152" s="5" t="s">
        <v>62</v>
      </c>
      <c r="D152" s="5" t="s">
        <v>82</v>
      </c>
      <c r="E152" s="5">
        <v>15</v>
      </c>
      <c r="F152" s="5">
        <v>63</v>
      </c>
      <c r="G152" s="6">
        <v>18750</v>
      </c>
      <c r="H152" s="6">
        <v>78750</v>
      </c>
      <c r="I152" s="5" t="s">
        <v>5</v>
      </c>
    </row>
    <row r="153" spans="1:9" ht="15.75" x14ac:dyDescent="0.25">
      <c r="A153" s="3" t="s">
        <v>23</v>
      </c>
      <c r="B153" s="8" t="s">
        <v>37</v>
      </c>
      <c r="C153" s="5" t="s">
        <v>62</v>
      </c>
      <c r="D153" s="5" t="s">
        <v>83</v>
      </c>
      <c r="E153" s="5">
        <v>69</v>
      </c>
      <c r="F153" s="5">
        <v>108</v>
      </c>
      <c r="G153" s="6">
        <v>586500</v>
      </c>
      <c r="H153" s="6">
        <v>918000</v>
      </c>
      <c r="I153" s="5" t="s">
        <v>5</v>
      </c>
    </row>
    <row r="154" spans="1:9" ht="15.75" x14ac:dyDescent="0.25">
      <c r="A154" s="3" t="s">
        <v>23</v>
      </c>
      <c r="B154" s="8" t="s">
        <v>37</v>
      </c>
      <c r="C154" s="5" t="s">
        <v>62</v>
      </c>
      <c r="D154" s="5" t="s">
        <v>84</v>
      </c>
      <c r="E154" s="5">
        <v>12</v>
      </c>
      <c r="F154" s="5">
        <v>16</v>
      </c>
      <c r="G154" s="6">
        <v>16800</v>
      </c>
      <c r="H154" s="6">
        <v>22400</v>
      </c>
      <c r="I154" s="5" t="s">
        <v>5</v>
      </c>
    </row>
    <row r="155" spans="1:9" ht="15.75" x14ac:dyDescent="0.25">
      <c r="A155" s="3" t="s">
        <v>23</v>
      </c>
      <c r="B155" s="8" t="s">
        <v>38</v>
      </c>
      <c r="C155" s="5" t="s">
        <v>63</v>
      </c>
      <c r="D155" s="5" t="s">
        <v>82</v>
      </c>
      <c r="E155" s="5">
        <v>14</v>
      </c>
      <c r="F155" s="5">
        <v>18</v>
      </c>
      <c r="G155" s="6">
        <v>17500</v>
      </c>
      <c r="H155" s="6">
        <v>22500</v>
      </c>
      <c r="I155" s="5" t="s">
        <v>5</v>
      </c>
    </row>
    <row r="156" spans="1:9" ht="15.75" x14ac:dyDescent="0.25">
      <c r="A156" s="3" t="s">
        <v>23</v>
      </c>
      <c r="B156" s="8" t="s">
        <v>38</v>
      </c>
      <c r="C156" s="5" t="s">
        <v>63</v>
      </c>
      <c r="D156" s="5" t="s">
        <v>83</v>
      </c>
      <c r="E156" s="5">
        <v>26</v>
      </c>
      <c r="F156" s="5">
        <v>36</v>
      </c>
      <c r="G156" s="6">
        <v>221000</v>
      </c>
      <c r="H156" s="6">
        <v>306000</v>
      </c>
      <c r="I156" s="5" t="s">
        <v>5</v>
      </c>
    </row>
    <row r="157" spans="1:9" ht="15.75" x14ac:dyDescent="0.25">
      <c r="A157" s="3" t="s">
        <v>23</v>
      </c>
      <c r="B157" s="8" t="s">
        <v>38</v>
      </c>
      <c r="C157" s="5" t="s">
        <v>63</v>
      </c>
      <c r="D157" s="5" t="s">
        <v>84</v>
      </c>
      <c r="E157" s="5">
        <v>20</v>
      </c>
      <c r="F157" s="5">
        <v>61</v>
      </c>
      <c r="G157" s="6">
        <v>28000</v>
      </c>
      <c r="H157" s="6">
        <v>85400</v>
      </c>
      <c r="I157" s="5" t="s">
        <v>5</v>
      </c>
    </row>
    <row r="158" spans="1:9" ht="15.75" x14ac:dyDescent="0.25">
      <c r="A158" s="3" t="s">
        <v>23</v>
      </c>
      <c r="B158" s="8" t="s">
        <v>37</v>
      </c>
      <c r="C158" s="5" t="s">
        <v>62</v>
      </c>
      <c r="D158" s="5" t="s">
        <v>82</v>
      </c>
      <c r="E158" s="5">
        <v>54</v>
      </c>
      <c r="F158" s="5">
        <v>67</v>
      </c>
      <c r="G158" s="6">
        <v>67500</v>
      </c>
      <c r="H158" s="6">
        <v>83750</v>
      </c>
      <c r="I158" s="5" t="s">
        <v>4</v>
      </c>
    </row>
    <row r="159" spans="1:9" ht="15.75" x14ac:dyDescent="0.25">
      <c r="A159" s="3" t="s">
        <v>23</v>
      </c>
      <c r="B159" s="8" t="s">
        <v>37</v>
      </c>
      <c r="C159" s="5" t="s">
        <v>62</v>
      </c>
      <c r="D159" s="5" t="s">
        <v>83</v>
      </c>
      <c r="E159" s="5">
        <v>13</v>
      </c>
      <c r="F159" s="5">
        <v>14</v>
      </c>
      <c r="G159" s="6">
        <v>110500</v>
      </c>
      <c r="H159" s="6">
        <v>119000</v>
      </c>
      <c r="I159" s="5" t="s">
        <v>4</v>
      </c>
    </row>
    <row r="160" spans="1:9" ht="15.75" x14ac:dyDescent="0.25">
      <c r="A160" s="3" t="s">
        <v>23</v>
      </c>
      <c r="B160" s="8" t="s">
        <v>37</v>
      </c>
      <c r="C160" s="5" t="s">
        <v>62</v>
      </c>
      <c r="D160" s="5" t="s">
        <v>84</v>
      </c>
      <c r="E160" s="5">
        <v>0</v>
      </c>
      <c r="F160" s="5">
        <v>1</v>
      </c>
      <c r="G160" s="6">
        <v>0</v>
      </c>
      <c r="H160" s="6">
        <v>1400</v>
      </c>
      <c r="I160" s="5" t="s">
        <v>4</v>
      </c>
    </row>
    <row r="161" spans="1:9" ht="15.75" x14ac:dyDescent="0.25">
      <c r="A161" s="3" t="s">
        <v>23</v>
      </c>
      <c r="B161" s="8" t="s">
        <v>38</v>
      </c>
      <c r="C161" s="5" t="s">
        <v>63</v>
      </c>
      <c r="D161" s="5" t="s">
        <v>82</v>
      </c>
      <c r="E161" s="5">
        <v>5</v>
      </c>
      <c r="F161" s="5">
        <v>13</v>
      </c>
      <c r="G161" s="6">
        <v>6250</v>
      </c>
      <c r="H161" s="6">
        <v>16250</v>
      </c>
      <c r="I161" s="5" t="s">
        <v>4</v>
      </c>
    </row>
    <row r="162" spans="1:9" ht="15.75" x14ac:dyDescent="0.25">
      <c r="A162" s="3" t="s">
        <v>23</v>
      </c>
      <c r="B162" s="8" t="s">
        <v>38</v>
      </c>
      <c r="C162" s="5" t="s">
        <v>63</v>
      </c>
      <c r="D162" s="5" t="s">
        <v>83</v>
      </c>
      <c r="E162" s="5">
        <v>71</v>
      </c>
      <c r="F162" s="5">
        <v>71</v>
      </c>
      <c r="G162" s="6">
        <v>603500</v>
      </c>
      <c r="H162" s="6">
        <v>603500</v>
      </c>
      <c r="I162" s="5" t="s">
        <v>4</v>
      </c>
    </row>
    <row r="163" spans="1:9" ht="15.75" x14ac:dyDescent="0.25">
      <c r="A163" s="3" t="s">
        <v>23</v>
      </c>
      <c r="B163" s="8" t="s">
        <v>38</v>
      </c>
      <c r="C163" s="5" t="s">
        <v>63</v>
      </c>
      <c r="D163" s="5" t="s">
        <v>84</v>
      </c>
      <c r="E163" s="5">
        <v>4</v>
      </c>
      <c r="F163" s="5">
        <v>13</v>
      </c>
      <c r="G163" s="6">
        <v>5600</v>
      </c>
      <c r="H163" s="6">
        <v>18200</v>
      </c>
      <c r="I163" s="5" t="s">
        <v>4</v>
      </c>
    </row>
    <row r="164" spans="1:9" ht="15.75" x14ac:dyDescent="0.25">
      <c r="A164" s="3" t="s">
        <v>23</v>
      </c>
      <c r="B164" s="8" t="s">
        <v>37</v>
      </c>
      <c r="C164" s="5" t="s">
        <v>62</v>
      </c>
      <c r="D164" s="5" t="s">
        <v>82</v>
      </c>
      <c r="E164" s="5">
        <v>6</v>
      </c>
      <c r="F164" s="5">
        <v>7</v>
      </c>
      <c r="G164" s="6">
        <v>7500</v>
      </c>
      <c r="H164" s="6">
        <v>8750</v>
      </c>
      <c r="I164" s="5" t="s">
        <v>1</v>
      </c>
    </row>
    <row r="165" spans="1:9" ht="15.75" x14ac:dyDescent="0.25">
      <c r="A165" s="3" t="s">
        <v>23</v>
      </c>
      <c r="B165" s="8" t="s">
        <v>37</v>
      </c>
      <c r="C165" s="5" t="s">
        <v>62</v>
      </c>
      <c r="D165" s="5" t="s">
        <v>83</v>
      </c>
      <c r="E165" s="5">
        <v>25</v>
      </c>
      <c r="F165" s="5">
        <v>49</v>
      </c>
      <c r="G165" s="6">
        <v>212500</v>
      </c>
      <c r="H165" s="6">
        <v>416500</v>
      </c>
      <c r="I165" s="5" t="s">
        <v>1</v>
      </c>
    </row>
    <row r="166" spans="1:9" ht="15.75" x14ac:dyDescent="0.25">
      <c r="A166" s="3" t="s">
        <v>23</v>
      </c>
      <c r="B166" s="8" t="s">
        <v>37</v>
      </c>
      <c r="C166" s="5" t="s">
        <v>62</v>
      </c>
      <c r="D166" s="5" t="s">
        <v>84</v>
      </c>
      <c r="E166" s="5">
        <v>45</v>
      </c>
      <c r="F166" s="5">
        <v>92</v>
      </c>
      <c r="G166" s="6">
        <v>63000</v>
      </c>
      <c r="H166" s="6">
        <v>128800</v>
      </c>
      <c r="I166" s="5" t="s">
        <v>1</v>
      </c>
    </row>
    <row r="167" spans="1:9" ht="15.75" x14ac:dyDescent="0.25">
      <c r="A167" s="3" t="s">
        <v>23</v>
      </c>
      <c r="B167" s="8" t="s">
        <v>38</v>
      </c>
      <c r="C167" s="5" t="s">
        <v>63</v>
      </c>
      <c r="D167" s="5" t="s">
        <v>82</v>
      </c>
      <c r="E167" s="5">
        <v>52</v>
      </c>
      <c r="F167" s="5">
        <v>98</v>
      </c>
      <c r="G167" s="6">
        <v>65000</v>
      </c>
      <c r="H167" s="6">
        <v>122500</v>
      </c>
      <c r="I167" s="5" t="s">
        <v>1</v>
      </c>
    </row>
    <row r="168" spans="1:9" ht="15.75" x14ac:dyDescent="0.25">
      <c r="A168" s="3" t="s">
        <v>23</v>
      </c>
      <c r="B168" s="8" t="s">
        <v>38</v>
      </c>
      <c r="C168" s="5" t="s">
        <v>63</v>
      </c>
      <c r="D168" s="5" t="s">
        <v>83</v>
      </c>
      <c r="E168" s="5">
        <v>4</v>
      </c>
      <c r="F168" s="5">
        <v>7</v>
      </c>
      <c r="G168" s="6">
        <v>34000</v>
      </c>
      <c r="H168" s="6">
        <v>59500</v>
      </c>
      <c r="I168" s="5" t="s">
        <v>1</v>
      </c>
    </row>
    <row r="169" spans="1:9" ht="15.75" x14ac:dyDescent="0.25">
      <c r="A169" s="3" t="s">
        <v>23</v>
      </c>
      <c r="B169" s="8" t="s">
        <v>38</v>
      </c>
      <c r="C169" s="5" t="s">
        <v>63</v>
      </c>
      <c r="D169" s="5" t="s">
        <v>84</v>
      </c>
      <c r="E169" s="5">
        <v>5</v>
      </c>
      <c r="F169" s="5">
        <v>9</v>
      </c>
      <c r="G169" s="6">
        <v>7000</v>
      </c>
      <c r="H169" s="6">
        <v>12600</v>
      </c>
      <c r="I169" s="5" t="s">
        <v>1</v>
      </c>
    </row>
    <row r="170" spans="1:9" ht="15.75" x14ac:dyDescent="0.25">
      <c r="A170" s="3" t="s">
        <v>23</v>
      </c>
      <c r="B170" s="8" t="s">
        <v>37</v>
      </c>
      <c r="C170" s="5" t="s">
        <v>62</v>
      </c>
      <c r="D170" s="5" t="s">
        <v>82</v>
      </c>
      <c r="E170" s="5">
        <v>63</v>
      </c>
      <c r="F170" s="5">
        <v>91</v>
      </c>
      <c r="G170" s="6">
        <v>78750</v>
      </c>
      <c r="H170" s="6">
        <v>113750</v>
      </c>
      <c r="I170" s="5" t="s">
        <v>2</v>
      </c>
    </row>
    <row r="171" spans="1:9" ht="15.75" x14ac:dyDescent="0.25">
      <c r="A171" s="3" t="s">
        <v>23</v>
      </c>
      <c r="B171" s="8" t="s">
        <v>37</v>
      </c>
      <c r="C171" s="5" t="s">
        <v>62</v>
      </c>
      <c r="D171" s="5" t="s">
        <v>83</v>
      </c>
      <c r="E171" s="5">
        <v>3</v>
      </c>
      <c r="F171" s="5">
        <v>9</v>
      </c>
      <c r="G171" s="6">
        <v>25500</v>
      </c>
      <c r="H171" s="6">
        <v>76500</v>
      </c>
      <c r="I171" s="5" t="s">
        <v>2</v>
      </c>
    </row>
    <row r="172" spans="1:9" ht="15.75" x14ac:dyDescent="0.25">
      <c r="A172" s="3" t="s">
        <v>23</v>
      </c>
      <c r="B172" s="8" t="s">
        <v>37</v>
      </c>
      <c r="C172" s="5" t="s">
        <v>62</v>
      </c>
      <c r="D172" s="5" t="s">
        <v>84</v>
      </c>
      <c r="E172" s="5">
        <v>60</v>
      </c>
      <c r="F172" s="5">
        <v>77</v>
      </c>
      <c r="G172" s="6">
        <v>84000</v>
      </c>
      <c r="H172" s="6">
        <v>107800</v>
      </c>
      <c r="I172" s="5" t="s">
        <v>2</v>
      </c>
    </row>
    <row r="173" spans="1:9" ht="15.75" x14ac:dyDescent="0.25">
      <c r="A173" s="3" t="s">
        <v>23</v>
      </c>
      <c r="B173" s="8" t="s">
        <v>38</v>
      </c>
      <c r="C173" s="5" t="s">
        <v>63</v>
      </c>
      <c r="D173" s="5" t="s">
        <v>82</v>
      </c>
      <c r="E173" s="5">
        <v>19</v>
      </c>
      <c r="F173" s="5">
        <v>34</v>
      </c>
      <c r="G173" s="6">
        <v>23750</v>
      </c>
      <c r="H173" s="6">
        <v>42500</v>
      </c>
      <c r="I173" s="5" t="s">
        <v>2</v>
      </c>
    </row>
    <row r="174" spans="1:9" ht="15.75" x14ac:dyDescent="0.25">
      <c r="A174" s="3" t="s">
        <v>23</v>
      </c>
      <c r="B174" s="8" t="s">
        <v>38</v>
      </c>
      <c r="C174" s="5" t="s">
        <v>63</v>
      </c>
      <c r="D174" s="5" t="s">
        <v>83</v>
      </c>
      <c r="E174" s="5">
        <v>23</v>
      </c>
      <c r="F174" s="5">
        <v>32</v>
      </c>
      <c r="G174" s="6">
        <v>195500</v>
      </c>
      <c r="H174" s="6">
        <v>272000</v>
      </c>
      <c r="I174" s="5" t="s">
        <v>2</v>
      </c>
    </row>
    <row r="175" spans="1:9" ht="15.75" x14ac:dyDescent="0.25">
      <c r="A175" s="3" t="s">
        <v>23</v>
      </c>
      <c r="B175" s="8" t="s">
        <v>38</v>
      </c>
      <c r="C175" s="5" t="s">
        <v>63</v>
      </c>
      <c r="D175" s="5" t="s">
        <v>84</v>
      </c>
      <c r="E175" s="5">
        <v>27</v>
      </c>
      <c r="F175" s="5">
        <v>32</v>
      </c>
      <c r="G175" s="6">
        <v>37800</v>
      </c>
      <c r="H175" s="6">
        <v>44800</v>
      </c>
      <c r="I175" s="5" t="s">
        <v>2</v>
      </c>
    </row>
    <row r="176" spans="1:9" ht="15.75" x14ac:dyDescent="0.25">
      <c r="A176" s="3" t="s">
        <v>23</v>
      </c>
      <c r="B176" s="8" t="s">
        <v>37</v>
      </c>
      <c r="C176" s="5" t="s">
        <v>62</v>
      </c>
      <c r="D176" s="5" t="s">
        <v>82</v>
      </c>
      <c r="E176" s="5">
        <v>43</v>
      </c>
      <c r="F176" s="5">
        <v>106</v>
      </c>
      <c r="G176" s="6">
        <v>53750</v>
      </c>
      <c r="H176" s="6">
        <v>132500</v>
      </c>
      <c r="I176" s="5" t="s">
        <v>7</v>
      </c>
    </row>
    <row r="177" spans="1:9" ht="15.75" x14ac:dyDescent="0.25">
      <c r="A177" s="3" t="s">
        <v>23</v>
      </c>
      <c r="B177" s="8" t="s">
        <v>37</v>
      </c>
      <c r="C177" s="5" t="s">
        <v>62</v>
      </c>
      <c r="D177" s="5" t="s">
        <v>83</v>
      </c>
      <c r="E177" s="5">
        <v>9</v>
      </c>
      <c r="F177" s="5">
        <v>27</v>
      </c>
      <c r="G177" s="6">
        <v>76500</v>
      </c>
      <c r="H177" s="6">
        <v>229500</v>
      </c>
      <c r="I177" s="5" t="s">
        <v>7</v>
      </c>
    </row>
    <row r="178" spans="1:9" ht="15.75" x14ac:dyDescent="0.25">
      <c r="A178" s="3" t="s">
        <v>23</v>
      </c>
      <c r="B178" s="8" t="s">
        <v>37</v>
      </c>
      <c r="C178" s="5" t="s">
        <v>62</v>
      </c>
      <c r="D178" s="5" t="s">
        <v>84</v>
      </c>
      <c r="E178" s="5">
        <v>8</v>
      </c>
      <c r="F178" s="5">
        <v>26</v>
      </c>
      <c r="G178" s="6">
        <v>11200</v>
      </c>
      <c r="H178" s="6">
        <v>36400</v>
      </c>
      <c r="I178" s="5" t="s">
        <v>7</v>
      </c>
    </row>
    <row r="179" spans="1:9" ht="15.75" x14ac:dyDescent="0.25">
      <c r="A179" s="3" t="s">
        <v>23</v>
      </c>
      <c r="B179" s="8" t="s">
        <v>38</v>
      </c>
      <c r="C179" s="5" t="s">
        <v>63</v>
      </c>
      <c r="D179" s="5" t="s">
        <v>82</v>
      </c>
      <c r="E179" s="5">
        <v>10</v>
      </c>
      <c r="F179" s="5">
        <v>50</v>
      </c>
      <c r="G179" s="6">
        <v>12500</v>
      </c>
      <c r="H179" s="6">
        <v>62500</v>
      </c>
      <c r="I179" s="5" t="s">
        <v>7</v>
      </c>
    </row>
    <row r="180" spans="1:9" ht="15.75" x14ac:dyDescent="0.25">
      <c r="A180" s="3" t="s">
        <v>23</v>
      </c>
      <c r="B180" s="8" t="s">
        <v>38</v>
      </c>
      <c r="C180" s="5" t="s">
        <v>63</v>
      </c>
      <c r="D180" s="5" t="s">
        <v>83</v>
      </c>
      <c r="E180" s="5">
        <v>21</v>
      </c>
      <c r="F180" s="5">
        <v>81</v>
      </c>
      <c r="G180" s="6">
        <v>178500</v>
      </c>
      <c r="H180" s="6">
        <v>688500</v>
      </c>
      <c r="I180" s="5" t="s">
        <v>7</v>
      </c>
    </row>
    <row r="181" spans="1:9" ht="15.75" x14ac:dyDescent="0.25">
      <c r="A181" s="3" t="s">
        <v>23</v>
      </c>
      <c r="B181" s="8" t="s">
        <v>38</v>
      </c>
      <c r="C181" s="5" t="s">
        <v>63</v>
      </c>
      <c r="D181" s="5" t="s">
        <v>84</v>
      </c>
      <c r="E181" s="5">
        <v>16</v>
      </c>
      <c r="F181" s="5">
        <v>52</v>
      </c>
      <c r="G181" s="6">
        <v>22400</v>
      </c>
      <c r="H181" s="6">
        <v>72800</v>
      </c>
      <c r="I181" s="5" t="s">
        <v>7</v>
      </c>
    </row>
    <row r="182" spans="1:9" ht="15.75" x14ac:dyDescent="0.25">
      <c r="A182" s="3" t="s">
        <v>24</v>
      </c>
      <c r="B182" s="8" t="s">
        <v>39</v>
      </c>
      <c r="C182" s="5" t="s">
        <v>64</v>
      </c>
      <c r="D182" s="5" t="s">
        <v>82</v>
      </c>
      <c r="E182" s="5">
        <v>13</v>
      </c>
      <c r="F182" s="5">
        <v>66</v>
      </c>
      <c r="G182" s="6">
        <v>16250</v>
      </c>
      <c r="H182" s="6">
        <v>82500</v>
      </c>
      <c r="I182" s="5" t="s">
        <v>8</v>
      </c>
    </row>
    <row r="183" spans="1:9" ht="15.75" x14ac:dyDescent="0.25">
      <c r="A183" s="3" t="s">
        <v>24</v>
      </c>
      <c r="B183" s="8" t="s">
        <v>39</v>
      </c>
      <c r="C183" s="5" t="s">
        <v>64</v>
      </c>
      <c r="D183" s="5" t="s">
        <v>83</v>
      </c>
      <c r="E183" s="5">
        <v>1</v>
      </c>
      <c r="F183" s="5">
        <v>2</v>
      </c>
      <c r="G183" s="6">
        <v>8500</v>
      </c>
      <c r="H183" s="6">
        <v>17000</v>
      </c>
      <c r="I183" s="5" t="s">
        <v>8</v>
      </c>
    </row>
    <row r="184" spans="1:9" ht="15.75" x14ac:dyDescent="0.25">
      <c r="A184" s="3" t="s">
        <v>24</v>
      </c>
      <c r="B184" s="8" t="s">
        <v>39</v>
      </c>
      <c r="C184" s="5" t="s">
        <v>64</v>
      </c>
      <c r="D184" s="5" t="s">
        <v>84</v>
      </c>
      <c r="E184" s="5">
        <v>1</v>
      </c>
      <c r="F184" s="5">
        <v>2</v>
      </c>
      <c r="G184" s="6">
        <v>1400</v>
      </c>
      <c r="H184" s="6">
        <v>2800</v>
      </c>
      <c r="I184" s="5" t="s">
        <v>8</v>
      </c>
    </row>
    <row r="185" spans="1:9" ht="15.75" x14ac:dyDescent="0.25">
      <c r="A185" s="3" t="s">
        <v>24</v>
      </c>
      <c r="B185" s="8" t="s">
        <v>39</v>
      </c>
      <c r="C185" s="5" t="s">
        <v>64</v>
      </c>
      <c r="D185" s="5" t="s">
        <v>82</v>
      </c>
      <c r="E185" s="5">
        <v>40</v>
      </c>
      <c r="F185" s="5">
        <v>44</v>
      </c>
      <c r="G185" s="6">
        <v>50000</v>
      </c>
      <c r="H185" s="6">
        <v>55000</v>
      </c>
      <c r="I185" s="5" t="s">
        <v>12</v>
      </c>
    </row>
    <row r="186" spans="1:9" ht="15.75" x14ac:dyDescent="0.25">
      <c r="A186" s="3" t="s">
        <v>24</v>
      </c>
      <c r="B186" s="8" t="s">
        <v>39</v>
      </c>
      <c r="C186" s="5" t="s">
        <v>64</v>
      </c>
      <c r="D186" s="5" t="s">
        <v>82</v>
      </c>
      <c r="E186" s="5">
        <v>31</v>
      </c>
      <c r="F186" s="5">
        <v>58</v>
      </c>
      <c r="G186" s="6">
        <v>38750</v>
      </c>
      <c r="H186" s="6">
        <v>72500</v>
      </c>
      <c r="I186" s="5" t="s">
        <v>12</v>
      </c>
    </row>
    <row r="187" spans="1:9" ht="15.75" x14ac:dyDescent="0.25">
      <c r="A187" s="3" t="s">
        <v>24</v>
      </c>
      <c r="B187" s="8" t="s">
        <v>39</v>
      </c>
      <c r="C187" s="5" t="s">
        <v>64</v>
      </c>
      <c r="D187" s="5" t="s">
        <v>83</v>
      </c>
      <c r="E187" s="5">
        <v>3</v>
      </c>
      <c r="F187" s="5">
        <v>36</v>
      </c>
      <c r="G187" s="6">
        <v>25500</v>
      </c>
      <c r="H187" s="6">
        <v>306000</v>
      </c>
      <c r="I187" s="5" t="s">
        <v>12</v>
      </c>
    </row>
    <row r="188" spans="1:9" ht="15.75" x14ac:dyDescent="0.25">
      <c r="A188" s="3" t="s">
        <v>24</v>
      </c>
      <c r="B188" s="8" t="s">
        <v>39</v>
      </c>
      <c r="C188" s="5" t="s">
        <v>64</v>
      </c>
      <c r="D188" s="5" t="s">
        <v>84</v>
      </c>
      <c r="E188" s="5">
        <v>23</v>
      </c>
      <c r="F188" s="5">
        <v>58</v>
      </c>
      <c r="G188" s="6">
        <v>32200</v>
      </c>
      <c r="H188" s="6">
        <v>81200</v>
      </c>
      <c r="I188" s="5" t="s">
        <v>12</v>
      </c>
    </row>
    <row r="189" spans="1:9" ht="15.75" x14ac:dyDescent="0.25">
      <c r="A189" s="3" t="s">
        <v>24</v>
      </c>
      <c r="B189" s="8" t="s">
        <v>39</v>
      </c>
      <c r="C189" s="5" t="s">
        <v>64</v>
      </c>
      <c r="D189" s="5" t="s">
        <v>82</v>
      </c>
      <c r="E189" s="5">
        <v>28</v>
      </c>
      <c r="F189" s="5">
        <v>98</v>
      </c>
      <c r="G189" s="6">
        <v>35000</v>
      </c>
      <c r="H189" s="6">
        <v>122500</v>
      </c>
      <c r="I189" s="5" t="s">
        <v>10</v>
      </c>
    </row>
    <row r="190" spans="1:9" ht="15.75" x14ac:dyDescent="0.25">
      <c r="A190" s="3" t="s">
        <v>24</v>
      </c>
      <c r="B190" s="8" t="s">
        <v>39</v>
      </c>
      <c r="C190" s="5" t="s">
        <v>64</v>
      </c>
      <c r="D190" s="5" t="s">
        <v>83</v>
      </c>
      <c r="E190" s="5">
        <v>42</v>
      </c>
      <c r="F190" s="5">
        <v>102</v>
      </c>
      <c r="G190" s="6">
        <v>357000</v>
      </c>
      <c r="H190" s="6">
        <v>867000</v>
      </c>
      <c r="I190" s="5" t="s">
        <v>10</v>
      </c>
    </row>
    <row r="191" spans="1:9" ht="15.75" x14ac:dyDescent="0.25">
      <c r="A191" s="3" t="s">
        <v>24</v>
      </c>
      <c r="B191" s="8" t="s">
        <v>39</v>
      </c>
      <c r="C191" s="5" t="s">
        <v>64</v>
      </c>
      <c r="D191" s="5" t="s">
        <v>84</v>
      </c>
      <c r="E191" s="5">
        <v>15</v>
      </c>
      <c r="F191" s="5">
        <v>30</v>
      </c>
      <c r="G191" s="6">
        <v>21000</v>
      </c>
      <c r="H191" s="6">
        <v>42000</v>
      </c>
      <c r="I191" s="5" t="s">
        <v>10</v>
      </c>
    </row>
    <row r="192" spans="1:9" ht="15.75" x14ac:dyDescent="0.25">
      <c r="A192" s="3" t="s">
        <v>24</v>
      </c>
      <c r="B192" s="8" t="s">
        <v>39</v>
      </c>
      <c r="C192" s="5" t="s">
        <v>64</v>
      </c>
      <c r="D192" s="5" t="s">
        <v>82</v>
      </c>
      <c r="E192" s="5">
        <v>23</v>
      </c>
      <c r="F192" s="5">
        <v>69</v>
      </c>
      <c r="G192" s="6">
        <v>28750</v>
      </c>
      <c r="H192" s="6">
        <v>86250</v>
      </c>
      <c r="I192" s="5" t="s">
        <v>9</v>
      </c>
    </row>
    <row r="193" spans="1:9" ht="15.75" x14ac:dyDescent="0.25">
      <c r="A193" s="3" t="s">
        <v>24</v>
      </c>
      <c r="B193" s="8" t="s">
        <v>39</v>
      </c>
      <c r="C193" s="5" t="s">
        <v>64</v>
      </c>
      <c r="D193" s="5" t="s">
        <v>83</v>
      </c>
      <c r="E193" s="5">
        <v>0</v>
      </c>
      <c r="F193" s="5">
        <v>6</v>
      </c>
      <c r="G193" s="6">
        <v>0</v>
      </c>
      <c r="H193" s="6">
        <v>51000</v>
      </c>
      <c r="I193" s="5" t="s">
        <v>9</v>
      </c>
    </row>
    <row r="194" spans="1:9" ht="15.75" x14ac:dyDescent="0.25">
      <c r="A194" s="3" t="s">
        <v>24</v>
      </c>
      <c r="B194" s="8" t="s">
        <v>39</v>
      </c>
      <c r="C194" s="5" t="s">
        <v>64</v>
      </c>
      <c r="D194" s="5" t="s">
        <v>84</v>
      </c>
      <c r="E194" s="5">
        <v>93</v>
      </c>
      <c r="F194" s="5">
        <v>110</v>
      </c>
      <c r="G194" s="6">
        <v>130200</v>
      </c>
      <c r="H194" s="6">
        <v>154000</v>
      </c>
      <c r="I194" s="5" t="s">
        <v>9</v>
      </c>
    </row>
    <row r="195" spans="1:9" ht="15.75" x14ac:dyDescent="0.25">
      <c r="A195" s="3" t="s">
        <v>24</v>
      </c>
      <c r="B195" s="8" t="s">
        <v>39</v>
      </c>
      <c r="C195" s="5" t="s">
        <v>64</v>
      </c>
      <c r="D195" s="5" t="s">
        <v>82</v>
      </c>
      <c r="E195" s="5">
        <v>3</v>
      </c>
      <c r="F195" s="5">
        <v>7</v>
      </c>
      <c r="G195" s="6">
        <v>3750</v>
      </c>
      <c r="H195" s="6">
        <v>8750</v>
      </c>
      <c r="I195" s="5" t="s">
        <v>6</v>
      </c>
    </row>
    <row r="196" spans="1:9" ht="15.75" x14ac:dyDescent="0.25">
      <c r="A196" s="3" t="s">
        <v>24</v>
      </c>
      <c r="B196" s="8" t="s">
        <v>39</v>
      </c>
      <c r="C196" s="5" t="s">
        <v>64</v>
      </c>
      <c r="D196" s="5" t="s">
        <v>83</v>
      </c>
      <c r="E196" s="5">
        <v>3</v>
      </c>
      <c r="F196" s="5">
        <v>31</v>
      </c>
      <c r="G196" s="6">
        <v>25500</v>
      </c>
      <c r="H196" s="6">
        <v>263500</v>
      </c>
      <c r="I196" s="5" t="s">
        <v>6</v>
      </c>
    </row>
    <row r="197" spans="1:9" ht="15.75" x14ac:dyDescent="0.25">
      <c r="A197" s="3" t="s">
        <v>24</v>
      </c>
      <c r="B197" s="8" t="s">
        <v>39</v>
      </c>
      <c r="C197" s="5" t="s">
        <v>64</v>
      </c>
      <c r="D197" s="5" t="s">
        <v>84</v>
      </c>
      <c r="E197" s="5">
        <v>14</v>
      </c>
      <c r="F197" s="5">
        <v>18</v>
      </c>
      <c r="G197" s="6">
        <v>19600</v>
      </c>
      <c r="H197" s="6">
        <v>25200</v>
      </c>
      <c r="I197" s="5" t="s">
        <v>6</v>
      </c>
    </row>
    <row r="198" spans="1:9" ht="15.75" x14ac:dyDescent="0.25">
      <c r="A198" s="3" t="s">
        <v>24</v>
      </c>
      <c r="B198" s="8" t="s">
        <v>39</v>
      </c>
      <c r="C198" s="5" t="s">
        <v>64</v>
      </c>
      <c r="D198" s="5" t="s">
        <v>82</v>
      </c>
      <c r="E198" s="5">
        <v>61</v>
      </c>
      <c r="F198" s="5">
        <v>77</v>
      </c>
      <c r="G198" s="6">
        <v>76250</v>
      </c>
      <c r="H198" s="6">
        <v>96250</v>
      </c>
      <c r="I198" s="5" t="s">
        <v>11</v>
      </c>
    </row>
    <row r="199" spans="1:9" ht="15.75" x14ac:dyDescent="0.25">
      <c r="A199" s="3" t="s">
        <v>24</v>
      </c>
      <c r="B199" s="8" t="s">
        <v>39</v>
      </c>
      <c r="C199" s="5" t="s">
        <v>64</v>
      </c>
      <c r="D199" s="5" t="s">
        <v>83</v>
      </c>
      <c r="E199" s="5">
        <v>12</v>
      </c>
      <c r="F199" s="5">
        <v>75</v>
      </c>
      <c r="G199" s="6">
        <v>102000</v>
      </c>
      <c r="H199" s="6">
        <v>637500</v>
      </c>
      <c r="I199" s="5" t="s">
        <v>11</v>
      </c>
    </row>
    <row r="200" spans="1:9" ht="15.75" x14ac:dyDescent="0.25">
      <c r="A200" s="3" t="s">
        <v>24</v>
      </c>
      <c r="B200" s="8" t="s">
        <v>39</v>
      </c>
      <c r="C200" s="5" t="s">
        <v>64</v>
      </c>
      <c r="D200" s="5" t="s">
        <v>84</v>
      </c>
      <c r="E200" s="5">
        <v>26</v>
      </c>
      <c r="F200" s="5">
        <v>84</v>
      </c>
      <c r="G200" s="6">
        <v>36400</v>
      </c>
      <c r="H200" s="6">
        <v>117600</v>
      </c>
      <c r="I200" s="5" t="s">
        <v>11</v>
      </c>
    </row>
    <row r="201" spans="1:9" ht="15.75" x14ac:dyDescent="0.25">
      <c r="A201" s="3" t="s">
        <v>24</v>
      </c>
      <c r="B201" s="8" t="s">
        <v>39</v>
      </c>
      <c r="C201" s="5" t="s">
        <v>64</v>
      </c>
      <c r="D201" s="5" t="s">
        <v>82</v>
      </c>
      <c r="E201" s="5">
        <v>7</v>
      </c>
      <c r="F201" s="5">
        <v>39</v>
      </c>
      <c r="G201" s="6">
        <v>8750</v>
      </c>
      <c r="H201" s="6">
        <v>48750</v>
      </c>
      <c r="I201" s="5" t="s">
        <v>3</v>
      </c>
    </row>
    <row r="202" spans="1:9" ht="15.75" x14ac:dyDescent="0.25">
      <c r="A202" s="3" t="s">
        <v>24</v>
      </c>
      <c r="B202" s="8" t="s">
        <v>39</v>
      </c>
      <c r="C202" s="5" t="s">
        <v>64</v>
      </c>
      <c r="D202" s="5" t="s">
        <v>83</v>
      </c>
      <c r="E202" s="5">
        <v>6</v>
      </c>
      <c r="F202" s="5">
        <v>51</v>
      </c>
      <c r="G202" s="6">
        <v>51000</v>
      </c>
      <c r="H202" s="6">
        <v>433500</v>
      </c>
      <c r="I202" s="5" t="s">
        <v>3</v>
      </c>
    </row>
    <row r="203" spans="1:9" ht="15.75" x14ac:dyDescent="0.25">
      <c r="A203" s="3" t="s">
        <v>24</v>
      </c>
      <c r="B203" s="8" t="s">
        <v>39</v>
      </c>
      <c r="C203" s="5" t="s">
        <v>64</v>
      </c>
      <c r="D203" s="5" t="s">
        <v>84</v>
      </c>
      <c r="E203" s="5">
        <v>35</v>
      </c>
      <c r="F203" s="5">
        <v>64</v>
      </c>
      <c r="G203" s="6">
        <v>49000</v>
      </c>
      <c r="H203" s="6">
        <v>89600</v>
      </c>
      <c r="I203" s="5" t="s">
        <v>3</v>
      </c>
    </row>
    <row r="204" spans="1:9" ht="15.75" x14ac:dyDescent="0.25">
      <c r="A204" s="3" t="s">
        <v>24</v>
      </c>
      <c r="B204" s="8" t="s">
        <v>39</v>
      </c>
      <c r="C204" s="5" t="s">
        <v>64</v>
      </c>
      <c r="D204" s="5" t="s">
        <v>82</v>
      </c>
      <c r="E204" s="5">
        <v>9</v>
      </c>
      <c r="F204" s="5">
        <v>21</v>
      </c>
      <c r="G204" s="6">
        <v>11250</v>
      </c>
      <c r="H204" s="6">
        <v>26250</v>
      </c>
      <c r="I204" s="5" t="s">
        <v>5</v>
      </c>
    </row>
    <row r="205" spans="1:9" ht="15.75" x14ac:dyDescent="0.25">
      <c r="A205" s="3" t="s">
        <v>24</v>
      </c>
      <c r="B205" s="8" t="s">
        <v>39</v>
      </c>
      <c r="C205" s="5" t="s">
        <v>64</v>
      </c>
      <c r="D205" s="5" t="s">
        <v>83</v>
      </c>
      <c r="E205" s="5">
        <v>16</v>
      </c>
      <c r="F205" s="5">
        <v>55</v>
      </c>
      <c r="G205" s="6">
        <v>136000</v>
      </c>
      <c r="H205" s="6">
        <v>467500</v>
      </c>
      <c r="I205" s="5" t="s">
        <v>5</v>
      </c>
    </row>
    <row r="206" spans="1:9" ht="15.75" x14ac:dyDescent="0.25">
      <c r="A206" s="3" t="s">
        <v>24</v>
      </c>
      <c r="B206" s="8" t="s">
        <v>39</v>
      </c>
      <c r="C206" s="5" t="s">
        <v>64</v>
      </c>
      <c r="D206" s="5" t="s">
        <v>84</v>
      </c>
      <c r="E206" s="5">
        <v>30</v>
      </c>
      <c r="F206" s="5">
        <v>70</v>
      </c>
      <c r="G206" s="6">
        <v>42000</v>
      </c>
      <c r="H206" s="6">
        <v>98000</v>
      </c>
      <c r="I206" s="5" t="s">
        <v>5</v>
      </c>
    </row>
    <row r="207" spans="1:9" ht="15.75" x14ac:dyDescent="0.25">
      <c r="A207" s="3" t="s">
        <v>24</v>
      </c>
      <c r="B207" s="8" t="s">
        <v>39</v>
      </c>
      <c r="C207" s="5" t="s">
        <v>64</v>
      </c>
      <c r="D207" s="5" t="s">
        <v>82</v>
      </c>
      <c r="E207" s="5">
        <v>25</v>
      </c>
      <c r="F207" s="5">
        <v>32</v>
      </c>
      <c r="G207" s="6">
        <v>31250</v>
      </c>
      <c r="H207" s="6">
        <v>40000</v>
      </c>
      <c r="I207" s="5" t="s">
        <v>4</v>
      </c>
    </row>
    <row r="208" spans="1:9" ht="15.75" x14ac:dyDescent="0.25">
      <c r="A208" s="3" t="s">
        <v>24</v>
      </c>
      <c r="B208" s="8" t="s">
        <v>39</v>
      </c>
      <c r="C208" s="5" t="s">
        <v>64</v>
      </c>
      <c r="D208" s="5" t="s">
        <v>83</v>
      </c>
      <c r="E208" s="5">
        <v>0</v>
      </c>
      <c r="F208" s="5">
        <v>2</v>
      </c>
      <c r="G208" s="6">
        <v>0</v>
      </c>
      <c r="H208" s="6">
        <v>17000</v>
      </c>
      <c r="I208" s="5" t="s">
        <v>4</v>
      </c>
    </row>
    <row r="209" spans="1:9" ht="15.75" x14ac:dyDescent="0.25">
      <c r="A209" s="3" t="s">
        <v>24</v>
      </c>
      <c r="B209" s="8" t="s">
        <v>39</v>
      </c>
      <c r="C209" s="5" t="s">
        <v>64</v>
      </c>
      <c r="D209" s="5" t="s">
        <v>84</v>
      </c>
      <c r="E209" s="5">
        <v>8</v>
      </c>
      <c r="F209" s="5">
        <v>9</v>
      </c>
      <c r="G209" s="6">
        <v>11200</v>
      </c>
      <c r="H209" s="6">
        <v>12600</v>
      </c>
      <c r="I209" s="5" t="s">
        <v>4</v>
      </c>
    </row>
    <row r="210" spans="1:9" ht="15.75" x14ac:dyDescent="0.25">
      <c r="A210" s="3" t="s">
        <v>24</v>
      </c>
      <c r="B210" s="8" t="s">
        <v>39</v>
      </c>
      <c r="C210" s="5" t="s">
        <v>64</v>
      </c>
      <c r="D210" s="5" t="s">
        <v>83</v>
      </c>
      <c r="E210" s="5">
        <v>18</v>
      </c>
      <c r="F210" s="5">
        <v>33</v>
      </c>
      <c r="G210" s="6">
        <v>153000</v>
      </c>
      <c r="H210" s="6">
        <v>280500</v>
      </c>
      <c r="I210" s="5" t="s">
        <v>1</v>
      </c>
    </row>
    <row r="211" spans="1:9" ht="15.75" x14ac:dyDescent="0.25">
      <c r="A211" s="3" t="s">
        <v>24</v>
      </c>
      <c r="B211" s="8" t="s">
        <v>39</v>
      </c>
      <c r="C211" s="5" t="s">
        <v>64</v>
      </c>
      <c r="D211" s="5" t="s">
        <v>84</v>
      </c>
      <c r="E211" s="5">
        <v>15</v>
      </c>
      <c r="F211" s="5">
        <v>35</v>
      </c>
      <c r="G211" s="6">
        <v>21000</v>
      </c>
      <c r="H211" s="6">
        <v>49000</v>
      </c>
      <c r="I211" s="5" t="s">
        <v>1</v>
      </c>
    </row>
    <row r="212" spans="1:9" ht="15.75" x14ac:dyDescent="0.25">
      <c r="A212" s="3" t="s">
        <v>24</v>
      </c>
      <c r="B212" s="8" t="s">
        <v>39</v>
      </c>
      <c r="C212" s="5" t="s">
        <v>64</v>
      </c>
      <c r="D212" s="5" t="s">
        <v>82</v>
      </c>
      <c r="E212" s="5">
        <v>3</v>
      </c>
      <c r="F212" s="5">
        <v>18</v>
      </c>
      <c r="G212" s="6">
        <v>3750</v>
      </c>
      <c r="H212" s="6">
        <v>22500</v>
      </c>
      <c r="I212" s="5" t="s">
        <v>2</v>
      </c>
    </row>
    <row r="213" spans="1:9" ht="15.75" x14ac:dyDescent="0.25">
      <c r="A213" s="3" t="s">
        <v>24</v>
      </c>
      <c r="B213" s="8" t="s">
        <v>39</v>
      </c>
      <c r="C213" s="5" t="s">
        <v>64</v>
      </c>
      <c r="D213" s="5" t="s">
        <v>83</v>
      </c>
      <c r="E213" s="5">
        <v>10</v>
      </c>
      <c r="F213" s="5">
        <v>62</v>
      </c>
      <c r="G213" s="6">
        <v>85000</v>
      </c>
      <c r="H213" s="6">
        <v>527000</v>
      </c>
      <c r="I213" s="5" t="s">
        <v>2</v>
      </c>
    </row>
    <row r="214" spans="1:9" ht="15.75" x14ac:dyDescent="0.25">
      <c r="A214" s="3" t="s">
        <v>24</v>
      </c>
      <c r="B214" s="8" t="s">
        <v>39</v>
      </c>
      <c r="C214" s="5" t="s">
        <v>64</v>
      </c>
      <c r="D214" s="5" t="s">
        <v>84</v>
      </c>
      <c r="E214" s="5">
        <v>21</v>
      </c>
      <c r="F214" s="5">
        <v>42</v>
      </c>
      <c r="G214" s="6">
        <v>29400</v>
      </c>
      <c r="H214" s="6">
        <v>58800</v>
      </c>
      <c r="I214" s="5" t="s">
        <v>2</v>
      </c>
    </row>
    <row r="215" spans="1:9" ht="15.75" x14ac:dyDescent="0.25">
      <c r="A215" s="3" t="s">
        <v>24</v>
      </c>
      <c r="B215" s="8" t="s">
        <v>39</v>
      </c>
      <c r="C215" s="5" t="s">
        <v>64</v>
      </c>
      <c r="D215" s="5" t="s">
        <v>82</v>
      </c>
      <c r="E215" s="5">
        <v>12</v>
      </c>
      <c r="F215" s="5">
        <v>96</v>
      </c>
      <c r="G215" s="6">
        <v>15000</v>
      </c>
      <c r="H215" s="6">
        <v>120000</v>
      </c>
      <c r="I215" s="5" t="s">
        <v>7</v>
      </c>
    </row>
    <row r="216" spans="1:9" ht="15.75" x14ac:dyDescent="0.25">
      <c r="A216" s="3" t="s">
        <v>24</v>
      </c>
      <c r="B216" s="8" t="s">
        <v>39</v>
      </c>
      <c r="C216" s="5" t="s">
        <v>64</v>
      </c>
      <c r="D216" s="5" t="s">
        <v>83</v>
      </c>
      <c r="E216" s="5">
        <v>59</v>
      </c>
      <c r="F216" s="5">
        <v>74</v>
      </c>
      <c r="G216" s="6">
        <v>501500</v>
      </c>
      <c r="H216" s="6">
        <v>629000</v>
      </c>
      <c r="I216" s="5" t="s">
        <v>7</v>
      </c>
    </row>
    <row r="217" spans="1:9" ht="15.75" x14ac:dyDescent="0.25">
      <c r="A217" s="3" t="s">
        <v>24</v>
      </c>
      <c r="B217" s="8" t="s">
        <v>39</v>
      </c>
      <c r="C217" s="5" t="s">
        <v>64</v>
      </c>
      <c r="D217" s="5" t="s">
        <v>84</v>
      </c>
      <c r="E217" s="5">
        <v>4</v>
      </c>
      <c r="F217" s="5">
        <v>41</v>
      </c>
      <c r="G217" s="6">
        <v>5600</v>
      </c>
      <c r="H217" s="6">
        <v>57400</v>
      </c>
      <c r="I217" s="5" t="s">
        <v>7</v>
      </c>
    </row>
    <row r="218" spans="1:9" ht="15.75" x14ac:dyDescent="0.25">
      <c r="A218" s="3" t="s">
        <v>25</v>
      </c>
      <c r="B218" s="8" t="s">
        <v>40</v>
      </c>
      <c r="C218" s="5" t="s">
        <v>65</v>
      </c>
      <c r="D218" s="5" t="s">
        <v>82</v>
      </c>
      <c r="E218" s="5">
        <v>60</v>
      </c>
      <c r="F218" s="5">
        <v>102</v>
      </c>
      <c r="G218" s="6">
        <v>75000</v>
      </c>
      <c r="H218" s="6">
        <v>127500</v>
      </c>
      <c r="I218" s="5" t="s">
        <v>8</v>
      </c>
    </row>
    <row r="219" spans="1:9" ht="15.75" x14ac:dyDescent="0.25">
      <c r="A219" s="3" t="s">
        <v>25</v>
      </c>
      <c r="B219" s="8" t="s">
        <v>40</v>
      </c>
      <c r="C219" s="5" t="s">
        <v>65</v>
      </c>
      <c r="D219" s="5" t="s">
        <v>83</v>
      </c>
      <c r="E219" s="5">
        <v>46</v>
      </c>
      <c r="F219" s="5">
        <v>85</v>
      </c>
      <c r="G219" s="6">
        <v>391000</v>
      </c>
      <c r="H219" s="6">
        <v>722500</v>
      </c>
      <c r="I219" s="5" t="s">
        <v>8</v>
      </c>
    </row>
    <row r="220" spans="1:9" ht="15.75" x14ac:dyDescent="0.25">
      <c r="A220" s="3" t="s">
        <v>25</v>
      </c>
      <c r="B220" s="8" t="s">
        <v>40</v>
      </c>
      <c r="C220" s="5" t="s">
        <v>65</v>
      </c>
      <c r="D220" s="5" t="s">
        <v>84</v>
      </c>
      <c r="E220" s="5">
        <v>51</v>
      </c>
      <c r="F220" s="5">
        <v>70</v>
      </c>
      <c r="G220" s="6">
        <v>71400</v>
      </c>
      <c r="H220" s="6">
        <v>98000</v>
      </c>
      <c r="I220" s="5" t="s">
        <v>8</v>
      </c>
    </row>
    <row r="221" spans="1:9" ht="15.75" x14ac:dyDescent="0.25">
      <c r="A221" s="3" t="s">
        <v>25</v>
      </c>
      <c r="B221" s="8" t="s">
        <v>40</v>
      </c>
      <c r="C221" s="5" t="s">
        <v>65</v>
      </c>
      <c r="D221" s="5" t="s">
        <v>82</v>
      </c>
      <c r="E221" s="5">
        <v>14</v>
      </c>
      <c r="F221" s="5">
        <v>18</v>
      </c>
      <c r="G221" s="6">
        <v>17500</v>
      </c>
      <c r="H221" s="6">
        <v>22500</v>
      </c>
      <c r="I221" s="5" t="s">
        <v>12</v>
      </c>
    </row>
    <row r="222" spans="1:9" ht="15.75" x14ac:dyDescent="0.25">
      <c r="A222" s="3" t="s">
        <v>25</v>
      </c>
      <c r="B222" s="8" t="s">
        <v>40</v>
      </c>
      <c r="C222" s="5" t="s">
        <v>65</v>
      </c>
      <c r="D222" s="5" t="s">
        <v>82</v>
      </c>
      <c r="E222" s="5">
        <v>30</v>
      </c>
      <c r="F222" s="5">
        <v>46</v>
      </c>
      <c r="G222" s="6">
        <v>37500</v>
      </c>
      <c r="H222" s="6">
        <v>57500</v>
      </c>
      <c r="I222" s="5" t="s">
        <v>12</v>
      </c>
    </row>
    <row r="223" spans="1:9" ht="15.75" x14ac:dyDescent="0.25">
      <c r="A223" s="3" t="s">
        <v>25</v>
      </c>
      <c r="B223" s="8" t="s">
        <v>40</v>
      </c>
      <c r="C223" s="5" t="s">
        <v>65</v>
      </c>
      <c r="D223" s="5" t="s">
        <v>83</v>
      </c>
      <c r="E223" s="5">
        <v>21</v>
      </c>
      <c r="F223" s="5">
        <v>108</v>
      </c>
      <c r="G223" s="6">
        <v>178500</v>
      </c>
      <c r="H223" s="6">
        <v>918000</v>
      </c>
      <c r="I223" s="5" t="s">
        <v>12</v>
      </c>
    </row>
    <row r="224" spans="1:9" ht="15.75" x14ac:dyDescent="0.25">
      <c r="A224" s="3" t="s">
        <v>25</v>
      </c>
      <c r="B224" s="8" t="s">
        <v>40</v>
      </c>
      <c r="C224" s="5" t="s">
        <v>65</v>
      </c>
      <c r="D224" s="5" t="s">
        <v>84</v>
      </c>
      <c r="E224" s="5">
        <v>40</v>
      </c>
      <c r="F224" s="5">
        <v>73</v>
      </c>
      <c r="G224" s="6">
        <v>56000</v>
      </c>
      <c r="H224" s="6">
        <v>102200</v>
      </c>
      <c r="I224" s="5" t="s">
        <v>12</v>
      </c>
    </row>
    <row r="225" spans="1:9" ht="15.75" x14ac:dyDescent="0.25">
      <c r="A225" s="3" t="s">
        <v>25</v>
      </c>
      <c r="B225" s="8" t="s">
        <v>40</v>
      </c>
      <c r="C225" s="5" t="s">
        <v>65</v>
      </c>
      <c r="D225" s="5" t="s">
        <v>82</v>
      </c>
      <c r="E225" s="5">
        <v>10</v>
      </c>
      <c r="F225" s="5">
        <v>21</v>
      </c>
      <c r="G225" s="6">
        <v>12500</v>
      </c>
      <c r="H225" s="6">
        <v>26250</v>
      </c>
      <c r="I225" s="5" t="s">
        <v>10</v>
      </c>
    </row>
    <row r="226" spans="1:9" ht="15.75" x14ac:dyDescent="0.25">
      <c r="A226" s="3" t="s">
        <v>25</v>
      </c>
      <c r="B226" s="8" t="s">
        <v>40</v>
      </c>
      <c r="C226" s="5" t="s">
        <v>65</v>
      </c>
      <c r="D226" s="5" t="s">
        <v>83</v>
      </c>
      <c r="E226" s="5">
        <v>32</v>
      </c>
      <c r="F226" s="5">
        <v>64</v>
      </c>
      <c r="G226" s="6">
        <v>272000</v>
      </c>
      <c r="H226" s="6">
        <v>544000</v>
      </c>
      <c r="I226" s="5" t="s">
        <v>10</v>
      </c>
    </row>
    <row r="227" spans="1:9" ht="15.75" x14ac:dyDescent="0.25">
      <c r="A227" s="3" t="s">
        <v>25</v>
      </c>
      <c r="B227" s="8" t="s">
        <v>40</v>
      </c>
      <c r="C227" s="5" t="s">
        <v>65</v>
      </c>
      <c r="D227" s="5" t="s">
        <v>84</v>
      </c>
      <c r="E227" s="5">
        <v>14</v>
      </c>
      <c r="F227" s="5">
        <v>26</v>
      </c>
      <c r="G227" s="6">
        <v>19600</v>
      </c>
      <c r="H227" s="6">
        <v>36400</v>
      </c>
      <c r="I227" s="5" t="s">
        <v>10</v>
      </c>
    </row>
    <row r="228" spans="1:9" ht="15.75" x14ac:dyDescent="0.25">
      <c r="A228" s="3" t="s">
        <v>25</v>
      </c>
      <c r="B228" s="8" t="s">
        <v>40</v>
      </c>
      <c r="C228" s="5" t="s">
        <v>65</v>
      </c>
      <c r="D228" s="5" t="s">
        <v>82</v>
      </c>
      <c r="E228" s="5">
        <v>69</v>
      </c>
      <c r="F228" s="5">
        <v>85</v>
      </c>
      <c r="G228" s="6">
        <v>86250</v>
      </c>
      <c r="H228" s="6">
        <v>106250</v>
      </c>
      <c r="I228" s="5" t="s">
        <v>9</v>
      </c>
    </row>
    <row r="229" spans="1:9" ht="15.75" x14ac:dyDescent="0.25">
      <c r="A229" s="3" t="s">
        <v>25</v>
      </c>
      <c r="B229" s="8" t="s">
        <v>40</v>
      </c>
      <c r="C229" s="5" t="s">
        <v>65</v>
      </c>
      <c r="D229" s="5" t="s">
        <v>83</v>
      </c>
      <c r="E229" s="5">
        <v>28</v>
      </c>
      <c r="F229" s="5">
        <v>31</v>
      </c>
      <c r="G229" s="6">
        <v>238000</v>
      </c>
      <c r="H229" s="6">
        <v>263500</v>
      </c>
      <c r="I229" s="5" t="s">
        <v>9</v>
      </c>
    </row>
    <row r="230" spans="1:9" ht="15.75" x14ac:dyDescent="0.25">
      <c r="A230" s="3" t="s">
        <v>25</v>
      </c>
      <c r="B230" s="8" t="s">
        <v>40</v>
      </c>
      <c r="C230" s="5" t="s">
        <v>65</v>
      </c>
      <c r="D230" s="5" t="s">
        <v>84</v>
      </c>
      <c r="E230" s="5">
        <v>15</v>
      </c>
      <c r="F230" s="5">
        <v>20</v>
      </c>
      <c r="G230" s="6">
        <v>21000</v>
      </c>
      <c r="H230" s="6">
        <v>28000</v>
      </c>
      <c r="I230" s="5" t="s">
        <v>9</v>
      </c>
    </row>
    <row r="231" spans="1:9" ht="15.75" x14ac:dyDescent="0.25">
      <c r="A231" s="3" t="s">
        <v>25</v>
      </c>
      <c r="B231" s="8" t="s">
        <v>40</v>
      </c>
      <c r="C231" s="5" t="s">
        <v>65</v>
      </c>
      <c r="D231" s="5" t="s">
        <v>82</v>
      </c>
      <c r="E231" s="5">
        <v>74</v>
      </c>
      <c r="F231" s="5">
        <v>113</v>
      </c>
      <c r="G231" s="6">
        <v>92500</v>
      </c>
      <c r="H231" s="6">
        <v>141250</v>
      </c>
      <c r="I231" s="5" t="s">
        <v>6</v>
      </c>
    </row>
    <row r="232" spans="1:9" ht="15.75" x14ac:dyDescent="0.25">
      <c r="A232" s="3" t="s">
        <v>25</v>
      </c>
      <c r="B232" s="8" t="s">
        <v>40</v>
      </c>
      <c r="C232" s="5" t="s">
        <v>65</v>
      </c>
      <c r="D232" s="5" t="s">
        <v>83</v>
      </c>
      <c r="E232" s="5">
        <v>7</v>
      </c>
      <c r="F232" s="5">
        <v>64</v>
      </c>
      <c r="G232" s="6">
        <v>59500</v>
      </c>
      <c r="H232" s="6">
        <v>544000</v>
      </c>
      <c r="I232" s="5" t="s">
        <v>6</v>
      </c>
    </row>
    <row r="233" spans="1:9" ht="15.75" x14ac:dyDescent="0.25">
      <c r="A233" s="3" t="s">
        <v>25</v>
      </c>
      <c r="B233" s="8" t="s">
        <v>40</v>
      </c>
      <c r="C233" s="5" t="s">
        <v>65</v>
      </c>
      <c r="D233" s="5" t="s">
        <v>84</v>
      </c>
      <c r="E233" s="5">
        <v>0</v>
      </c>
      <c r="F233" s="5">
        <v>3</v>
      </c>
      <c r="G233" s="6">
        <v>0</v>
      </c>
      <c r="H233" s="6">
        <v>4200</v>
      </c>
      <c r="I233" s="5" t="s">
        <v>6</v>
      </c>
    </row>
    <row r="234" spans="1:9" ht="15.75" x14ac:dyDescent="0.25">
      <c r="A234" s="3" t="s">
        <v>25</v>
      </c>
      <c r="B234" s="8" t="s">
        <v>40</v>
      </c>
      <c r="C234" s="5" t="s">
        <v>65</v>
      </c>
      <c r="D234" s="5" t="s">
        <v>82</v>
      </c>
      <c r="E234" s="5">
        <v>11</v>
      </c>
      <c r="F234" s="5">
        <v>32</v>
      </c>
      <c r="G234" s="6">
        <v>13750</v>
      </c>
      <c r="H234" s="6">
        <v>40000</v>
      </c>
      <c r="I234" s="5" t="s">
        <v>11</v>
      </c>
    </row>
    <row r="235" spans="1:9" ht="15.75" x14ac:dyDescent="0.25">
      <c r="A235" s="3" t="s">
        <v>25</v>
      </c>
      <c r="B235" s="8" t="s">
        <v>40</v>
      </c>
      <c r="C235" s="5" t="s">
        <v>65</v>
      </c>
      <c r="D235" s="5" t="s">
        <v>83</v>
      </c>
      <c r="E235" s="5">
        <v>52</v>
      </c>
      <c r="F235" s="5">
        <v>76</v>
      </c>
      <c r="G235" s="6">
        <v>442000</v>
      </c>
      <c r="H235" s="6">
        <v>646000</v>
      </c>
      <c r="I235" s="5" t="s">
        <v>11</v>
      </c>
    </row>
    <row r="236" spans="1:9" ht="15.75" x14ac:dyDescent="0.25">
      <c r="A236" s="3" t="s">
        <v>25</v>
      </c>
      <c r="B236" s="8" t="s">
        <v>40</v>
      </c>
      <c r="C236" s="5" t="s">
        <v>65</v>
      </c>
      <c r="D236" s="5" t="s">
        <v>84</v>
      </c>
      <c r="E236" s="5">
        <v>1</v>
      </c>
      <c r="F236" s="5">
        <v>4</v>
      </c>
      <c r="G236" s="6">
        <v>1400</v>
      </c>
      <c r="H236" s="6">
        <v>5600</v>
      </c>
      <c r="I236" s="5" t="s">
        <v>11</v>
      </c>
    </row>
    <row r="237" spans="1:9" ht="15.75" x14ac:dyDescent="0.25">
      <c r="A237" s="3" t="s">
        <v>25</v>
      </c>
      <c r="B237" s="8" t="s">
        <v>40</v>
      </c>
      <c r="C237" s="5" t="s">
        <v>65</v>
      </c>
      <c r="D237" s="5" t="s">
        <v>82</v>
      </c>
      <c r="E237" s="5">
        <v>0</v>
      </c>
      <c r="F237" s="5">
        <v>1</v>
      </c>
      <c r="G237" s="6">
        <v>0</v>
      </c>
      <c r="H237" s="6">
        <v>1250</v>
      </c>
      <c r="I237" s="5" t="s">
        <v>3</v>
      </c>
    </row>
    <row r="238" spans="1:9" ht="15.75" x14ac:dyDescent="0.25">
      <c r="A238" s="3" t="s">
        <v>25</v>
      </c>
      <c r="B238" s="8" t="s">
        <v>40</v>
      </c>
      <c r="C238" s="5" t="s">
        <v>65</v>
      </c>
      <c r="D238" s="5" t="s">
        <v>83</v>
      </c>
      <c r="E238" s="5">
        <v>8</v>
      </c>
      <c r="F238" s="5">
        <v>62</v>
      </c>
      <c r="G238" s="6">
        <v>68000</v>
      </c>
      <c r="H238" s="6">
        <v>527000</v>
      </c>
      <c r="I238" s="5" t="s">
        <v>3</v>
      </c>
    </row>
    <row r="239" spans="1:9" ht="15.75" x14ac:dyDescent="0.25">
      <c r="A239" s="3" t="s">
        <v>25</v>
      </c>
      <c r="B239" s="8" t="s">
        <v>40</v>
      </c>
      <c r="C239" s="5" t="s">
        <v>65</v>
      </c>
      <c r="D239" s="5" t="s">
        <v>84</v>
      </c>
      <c r="E239" s="5">
        <v>98</v>
      </c>
      <c r="F239" s="5">
        <v>102</v>
      </c>
      <c r="G239" s="6">
        <v>137200</v>
      </c>
      <c r="H239" s="6">
        <v>142800</v>
      </c>
      <c r="I239" s="5" t="s">
        <v>3</v>
      </c>
    </row>
    <row r="240" spans="1:9" ht="15.75" x14ac:dyDescent="0.25">
      <c r="A240" s="3" t="s">
        <v>25</v>
      </c>
      <c r="B240" s="8" t="s">
        <v>40</v>
      </c>
      <c r="C240" s="5" t="s">
        <v>65</v>
      </c>
      <c r="D240" s="5" t="s">
        <v>82</v>
      </c>
      <c r="E240" s="5">
        <v>0</v>
      </c>
      <c r="F240" s="5">
        <v>9</v>
      </c>
      <c r="G240" s="6">
        <v>0</v>
      </c>
      <c r="H240" s="6">
        <v>11250</v>
      </c>
      <c r="I240" s="5" t="s">
        <v>5</v>
      </c>
    </row>
    <row r="241" spans="1:9" ht="15.75" x14ac:dyDescent="0.25">
      <c r="A241" s="3" t="s">
        <v>25</v>
      </c>
      <c r="B241" s="8" t="s">
        <v>40</v>
      </c>
      <c r="C241" s="5" t="s">
        <v>65</v>
      </c>
      <c r="D241" s="5" t="s">
        <v>83</v>
      </c>
      <c r="E241" s="5">
        <v>12</v>
      </c>
      <c r="F241" s="5">
        <v>28</v>
      </c>
      <c r="G241" s="6">
        <v>102000</v>
      </c>
      <c r="H241" s="6">
        <v>238000</v>
      </c>
      <c r="I241" s="5" t="s">
        <v>5</v>
      </c>
    </row>
    <row r="242" spans="1:9" ht="15.75" x14ac:dyDescent="0.25">
      <c r="A242" s="3" t="s">
        <v>25</v>
      </c>
      <c r="B242" s="8" t="s">
        <v>40</v>
      </c>
      <c r="C242" s="5" t="s">
        <v>65</v>
      </c>
      <c r="D242" s="5" t="s">
        <v>84</v>
      </c>
      <c r="E242" s="5">
        <v>35</v>
      </c>
      <c r="F242" s="5">
        <v>74</v>
      </c>
      <c r="G242" s="6">
        <v>49000</v>
      </c>
      <c r="H242" s="6">
        <v>103600</v>
      </c>
      <c r="I242" s="5" t="s">
        <v>5</v>
      </c>
    </row>
    <row r="243" spans="1:9" ht="15.75" x14ac:dyDescent="0.25">
      <c r="A243" s="3" t="s">
        <v>25</v>
      </c>
      <c r="B243" s="8" t="s">
        <v>40</v>
      </c>
      <c r="C243" s="5" t="s">
        <v>65</v>
      </c>
      <c r="D243" s="5" t="s">
        <v>82</v>
      </c>
      <c r="E243" s="5">
        <v>16</v>
      </c>
      <c r="F243" s="5">
        <v>68</v>
      </c>
      <c r="G243" s="6">
        <v>20000</v>
      </c>
      <c r="H243" s="6">
        <v>85000</v>
      </c>
      <c r="I243" s="5" t="s">
        <v>4</v>
      </c>
    </row>
    <row r="244" spans="1:9" ht="15.75" x14ac:dyDescent="0.25">
      <c r="A244" s="3" t="s">
        <v>25</v>
      </c>
      <c r="B244" s="8" t="s">
        <v>40</v>
      </c>
      <c r="C244" s="5" t="s">
        <v>65</v>
      </c>
      <c r="D244" s="5" t="s">
        <v>83</v>
      </c>
      <c r="E244" s="5">
        <v>10</v>
      </c>
      <c r="F244" s="5">
        <v>60</v>
      </c>
      <c r="G244" s="6">
        <v>85000</v>
      </c>
      <c r="H244" s="6">
        <v>510000</v>
      </c>
      <c r="I244" s="5" t="s">
        <v>4</v>
      </c>
    </row>
    <row r="245" spans="1:9" ht="15.75" x14ac:dyDescent="0.25">
      <c r="A245" s="3" t="s">
        <v>25</v>
      </c>
      <c r="B245" s="8" t="s">
        <v>40</v>
      </c>
      <c r="C245" s="5" t="s">
        <v>65</v>
      </c>
      <c r="D245" s="5" t="s">
        <v>84</v>
      </c>
      <c r="E245" s="5">
        <v>58</v>
      </c>
      <c r="F245" s="5">
        <v>63</v>
      </c>
      <c r="G245" s="6">
        <v>81200</v>
      </c>
      <c r="H245" s="6">
        <v>88200</v>
      </c>
      <c r="I245" s="5" t="s">
        <v>4</v>
      </c>
    </row>
    <row r="246" spans="1:9" ht="15.75" x14ac:dyDescent="0.25">
      <c r="A246" s="3" t="s">
        <v>25</v>
      </c>
      <c r="B246" s="8" t="s">
        <v>40</v>
      </c>
      <c r="C246" s="5" t="s">
        <v>65</v>
      </c>
      <c r="D246" s="5" t="s">
        <v>83</v>
      </c>
      <c r="E246" s="5">
        <v>50</v>
      </c>
      <c r="F246" s="5">
        <v>91</v>
      </c>
      <c r="G246" s="6">
        <v>425000</v>
      </c>
      <c r="H246" s="6">
        <v>773500</v>
      </c>
      <c r="I246" s="5" t="s">
        <v>1</v>
      </c>
    </row>
    <row r="247" spans="1:9" ht="15.75" x14ac:dyDescent="0.25">
      <c r="A247" s="3" t="s">
        <v>25</v>
      </c>
      <c r="B247" s="8" t="s">
        <v>40</v>
      </c>
      <c r="C247" s="5" t="s">
        <v>65</v>
      </c>
      <c r="D247" s="5" t="s">
        <v>84</v>
      </c>
      <c r="E247" s="5">
        <v>3</v>
      </c>
      <c r="F247" s="5">
        <v>5</v>
      </c>
      <c r="G247" s="6">
        <v>4200</v>
      </c>
      <c r="H247" s="6">
        <v>7000</v>
      </c>
      <c r="I247" s="5" t="s">
        <v>1</v>
      </c>
    </row>
    <row r="248" spans="1:9" ht="15.75" x14ac:dyDescent="0.25">
      <c r="A248" s="3" t="s">
        <v>25</v>
      </c>
      <c r="B248" s="8" t="s">
        <v>40</v>
      </c>
      <c r="C248" s="5" t="s">
        <v>65</v>
      </c>
      <c r="D248" s="5" t="s">
        <v>82</v>
      </c>
      <c r="E248" s="5">
        <v>35</v>
      </c>
      <c r="F248" s="5">
        <v>59</v>
      </c>
      <c r="G248" s="6">
        <v>43750</v>
      </c>
      <c r="H248" s="6">
        <v>73750</v>
      </c>
      <c r="I248" s="5" t="s">
        <v>2</v>
      </c>
    </row>
    <row r="249" spans="1:9" ht="15.75" x14ac:dyDescent="0.25">
      <c r="A249" s="3" t="s">
        <v>25</v>
      </c>
      <c r="B249" s="8" t="s">
        <v>40</v>
      </c>
      <c r="C249" s="5" t="s">
        <v>65</v>
      </c>
      <c r="D249" s="5" t="s">
        <v>83</v>
      </c>
      <c r="E249" s="5">
        <v>1</v>
      </c>
      <c r="F249" s="5">
        <v>6</v>
      </c>
      <c r="G249" s="6">
        <v>8500</v>
      </c>
      <c r="H249" s="6">
        <v>51000</v>
      </c>
      <c r="I249" s="5" t="s">
        <v>2</v>
      </c>
    </row>
    <row r="250" spans="1:9" ht="15.75" x14ac:dyDescent="0.25">
      <c r="A250" s="3" t="s">
        <v>25</v>
      </c>
      <c r="B250" s="8" t="s">
        <v>40</v>
      </c>
      <c r="C250" s="5" t="s">
        <v>65</v>
      </c>
      <c r="D250" s="5" t="s">
        <v>84</v>
      </c>
      <c r="E250" s="5">
        <v>14</v>
      </c>
      <c r="F250" s="5">
        <v>22</v>
      </c>
      <c r="G250" s="6">
        <v>19600</v>
      </c>
      <c r="H250" s="6">
        <v>30800</v>
      </c>
      <c r="I250" s="5" t="s">
        <v>2</v>
      </c>
    </row>
    <row r="251" spans="1:9" ht="15.75" x14ac:dyDescent="0.25">
      <c r="A251" s="3" t="s">
        <v>25</v>
      </c>
      <c r="B251" s="8" t="s">
        <v>40</v>
      </c>
      <c r="C251" s="5" t="s">
        <v>65</v>
      </c>
      <c r="D251" s="5" t="s">
        <v>82</v>
      </c>
      <c r="E251" s="5">
        <v>30</v>
      </c>
      <c r="F251" s="5">
        <v>60</v>
      </c>
      <c r="G251" s="6">
        <v>37500</v>
      </c>
      <c r="H251" s="6">
        <v>75000</v>
      </c>
      <c r="I251" s="5" t="s">
        <v>7</v>
      </c>
    </row>
    <row r="252" spans="1:9" ht="15.75" x14ac:dyDescent="0.25">
      <c r="A252" s="3" t="s">
        <v>25</v>
      </c>
      <c r="B252" s="8" t="s">
        <v>40</v>
      </c>
      <c r="C252" s="5" t="s">
        <v>65</v>
      </c>
      <c r="D252" s="5" t="s">
        <v>83</v>
      </c>
      <c r="E252" s="5">
        <v>7</v>
      </c>
      <c r="F252" s="5">
        <v>10</v>
      </c>
      <c r="G252" s="6">
        <v>59500</v>
      </c>
      <c r="H252" s="6">
        <v>12500</v>
      </c>
      <c r="I252" s="5" t="s">
        <v>7</v>
      </c>
    </row>
    <row r="253" spans="1:9" ht="15.75" x14ac:dyDescent="0.25">
      <c r="A253" s="3" t="s">
        <v>25</v>
      </c>
      <c r="B253" s="8" t="s">
        <v>40</v>
      </c>
      <c r="C253" s="5" t="s">
        <v>65</v>
      </c>
      <c r="D253" s="5" t="s">
        <v>84</v>
      </c>
      <c r="E253" s="5">
        <v>66</v>
      </c>
      <c r="F253" s="5">
        <v>93</v>
      </c>
      <c r="G253" s="6">
        <v>92400</v>
      </c>
      <c r="H253" s="6">
        <v>130200</v>
      </c>
      <c r="I253" s="5" t="s">
        <v>7</v>
      </c>
    </row>
    <row r="254" spans="1:9" ht="15.75" x14ac:dyDescent="0.25">
      <c r="A254" s="3" t="s">
        <v>26</v>
      </c>
      <c r="B254" s="8" t="s">
        <v>41</v>
      </c>
      <c r="C254" s="5" t="s">
        <v>66</v>
      </c>
      <c r="D254" s="5" t="s">
        <v>82</v>
      </c>
      <c r="E254" s="5">
        <v>38</v>
      </c>
      <c r="F254" s="5">
        <v>38</v>
      </c>
      <c r="G254" s="6">
        <v>47500</v>
      </c>
      <c r="H254" s="6">
        <v>47500</v>
      </c>
      <c r="I254" s="5" t="s">
        <v>8</v>
      </c>
    </row>
    <row r="255" spans="1:9" ht="15.75" x14ac:dyDescent="0.25">
      <c r="A255" s="3" t="s">
        <v>26</v>
      </c>
      <c r="B255" s="8" t="s">
        <v>41</v>
      </c>
      <c r="C255" s="5" t="s">
        <v>66</v>
      </c>
      <c r="D255" s="5" t="s">
        <v>83</v>
      </c>
      <c r="E255" s="5">
        <v>58</v>
      </c>
      <c r="F255" s="5">
        <v>60</v>
      </c>
      <c r="G255" s="6">
        <v>493000</v>
      </c>
      <c r="H255" s="6">
        <v>510000</v>
      </c>
      <c r="I255" s="5" t="s">
        <v>8</v>
      </c>
    </row>
    <row r="256" spans="1:9" ht="15.75" x14ac:dyDescent="0.25">
      <c r="A256" s="3" t="s">
        <v>26</v>
      </c>
      <c r="B256" s="8" t="s">
        <v>41</v>
      </c>
      <c r="C256" s="5" t="s">
        <v>66</v>
      </c>
      <c r="D256" s="5" t="s">
        <v>84</v>
      </c>
      <c r="E256" s="5">
        <v>1</v>
      </c>
      <c r="F256" s="5">
        <v>2</v>
      </c>
      <c r="G256" s="6">
        <v>1400</v>
      </c>
      <c r="H256" s="6">
        <v>2800</v>
      </c>
      <c r="I256" s="5" t="s">
        <v>8</v>
      </c>
    </row>
    <row r="257" spans="1:9" ht="15.75" x14ac:dyDescent="0.25">
      <c r="A257" s="3" t="s">
        <v>26</v>
      </c>
      <c r="B257" s="8" t="s">
        <v>41</v>
      </c>
      <c r="C257" s="5" t="s">
        <v>66</v>
      </c>
      <c r="D257" s="5" t="s">
        <v>82</v>
      </c>
      <c r="E257" s="5">
        <v>9</v>
      </c>
      <c r="F257" s="5">
        <v>13</v>
      </c>
      <c r="G257" s="6">
        <v>11250</v>
      </c>
      <c r="H257" s="6">
        <v>16250</v>
      </c>
      <c r="I257" s="5" t="s">
        <v>12</v>
      </c>
    </row>
    <row r="258" spans="1:9" ht="15.75" x14ac:dyDescent="0.25">
      <c r="A258" s="3" t="s">
        <v>26</v>
      </c>
      <c r="B258" s="8" t="s">
        <v>41</v>
      </c>
      <c r="C258" s="5" t="s">
        <v>66</v>
      </c>
      <c r="D258" s="5" t="s">
        <v>82</v>
      </c>
      <c r="E258" s="5">
        <v>10</v>
      </c>
      <c r="F258" s="5">
        <v>54</v>
      </c>
      <c r="G258" s="6">
        <v>12500</v>
      </c>
      <c r="H258" s="6">
        <v>67500</v>
      </c>
      <c r="I258" s="5" t="s">
        <v>12</v>
      </c>
    </row>
    <row r="259" spans="1:9" ht="15.75" x14ac:dyDescent="0.25">
      <c r="A259" s="3" t="s">
        <v>26</v>
      </c>
      <c r="B259" s="8" t="s">
        <v>41</v>
      </c>
      <c r="C259" s="5" t="s">
        <v>66</v>
      </c>
      <c r="D259" s="5" t="s">
        <v>83</v>
      </c>
      <c r="E259" s="5">
        <v>62</v>
      </c>
      <c r="F259" s="5">
        <v>97</v>
      </c>
      <c r="G259" s="6">
        <v>527000</v>
      </c>
      <c r="H259" s="6">
        <v>824500</v>
      </c>
      <c r="I259" s="5" t="s">
        <v>12</v>
      </c>
    </row>
    <row r="260" spans="1:9" ht="15.75" x14ac:dyDescent="0.25">
      <c r="A260" s="3" t="s">
        <v>26</v>
      </c>
      <c r="B260" s="8" t="s">
        <v>41</v>
      </c>
      <c r="C260" s="5" t="s">
        <v>66</v>
      </c>
      <c r="D260" s="5" t="s">
        <v>84</v>
      </c>
      <c r="E260" s="5">
        <v>24</v>
      </c>
      <c r="F260" s="5">
        <v>30</v>
      </c>
      <c r="G260" s="6">
        <v>33600</v>
      </c>
      <c r="H260" s="6">
        <v>42000</v>
      </c>
      <c r="I260" s="5" t="s">
        <v>12</v>
      </c>
    </row>
    <row r="261" spans="1:9" ht="15.75" x14ac:dyDescent="0.25">
      <c r="A261" s="3" t="s">
        <v>26</v>
      </c>
      <c r="B261" s="8" t="s">
        <v>41</v>
      </c>
      <c r="C261" s="5" t="s">
        <v>66</v>
      </c>
      <c r="D261" s="5" t="s">
        <v>82</v>
      </c>
      <c r="E261" s="5">
        <v>99</v>
      </c>
      <c r="F261" s="5">
        <v>100</v>
      </c>
      <c r="G261" s="6">
        <v>123750</v>
      </c>
      <c r="H261" s="6">
        <v>125000</v>
      </c>
      <c r="I261" s="5" t="s">
        <v>10</v>
      </c>
    </row>
    <row r="262" spans="1:9" ht="15.75" x14ac:dyDescent="0.25">
      <c r="A262" s="3" t="s">
        <v>26</v>
      </c>
      <c r="B262" s="8" t="s">
        <v>41</v>
      </c>
      <c r="C262" s="5" t="s">
        <v>66</v>
      </c>
      <c r="D262" s="5" t="s">
        <v>83</v>
      </c>
      <c r="E262" s="5">
        <v>61</v>
      </c>
      <c r="F262" s="5">
        <v>114</v>
      </c>
      <c r="G262" s="6">
        <v>518500</v>
      </c>
      <c r="H262" s="6">
        <v>969000</v>
      </c>
      <c r="I262" s="5" t="s">
        <v>10</v>
      </c>
    </row>
    <row r="263" spans="1:9" ht="15.75" x14ac:dyDescent="0.25">
      <c r="A263" s="3" t="s">
        <v>26</v>
      </c>
      <c r="B263" s="8" t="s">
        <v>41</v>
      </c>
      <c r="C263" s="5" t="s">
        <v>66</v>
      </c>
      <c r="D263" s="5" t="s">
        <v>84</v>
      </c>
      <c r="E263" s="5">
        <v>93</v>
      </c>
      <c r="F263" s="5">
        <v>96</v>
      </c>
      <c r="G263" s="6">
        <v>130200</v>
      </c>
      <c r="H263" s="6">
        <v>134400</v>
      </c>
      <c r="I263" s="5" t="s">
        <v>10</v>
      </c>
    </row>
    <row r="264" spans="1:9" ht="15.75" x14ac:dyDescent="0.25">
      <c r="A264" s="3" t="s">
        <v>26</v>
      </c>
      <c r="B264" s="8" t="s">
        <v>41</v>
      </c>
      <c r="C264" s="5" t="s">
        <v>66</v>
      </c>
      <c r="D264" s="5" t="s">
        <v>82</v>
      </c>
      <c r="E264" s="5">
        <v>2</v>
      </c>
      <c r="F264" s="5">
        <v>4</v>
      </c>
      <c r="G264" s="6">
        <v>2500</v>
      </c>
      <c r="H264" s="6">
        <v>5000</v>
      </c>
      <c r="I264" s="5" t="s">
        <v>9</v>
      </c>
    </row>
    <row r="265" spans="1:9" ht="15.75" x14ac:dyDescent="0.25">
      <c r="A265" s="3" t="s">
        <v>26</v>
      </c>
      <c r="B265" s="8" t="s">
        <v>41</v>
      </c>
      <c r="C265" s="5" t="s">
        <v>66</v>
      </c>
      <c r="D265" s="5" t="s">
        <v>83</v>
      </c>
      <c r="E265" s="5">
        <v>15</v>
      </c>
      <c r="F265" s="5">
        <v>53</v>
      </c>
      <c r="G265" s="6">
        <v>127500</v>
      </c>
      <c r="H265" s="6">
        <v>450500</v>
      </c>
      <c r="I265" s="5" t="s">
        <v>9</v>
      </c>
    </row>
    <row r="266" spans="1:9" ht="15.75" x14ac:dyDescent="0.25">
      <c r="A266" s="3" t="s">
        <v>26</v>
      </c>
      <c r="B266" s="8" t="s">
        <v>41</v>
      </c>
      <c r="C266" s="5" t="s">
        <v>66</v>
      </c>
      <c r="D266" s="5" t="s">
        <v>84</v>
      </c>
      <c r="E266" s="5">
        <v>24</v>
      </c>
      <c r="F266" s="5">
        <v>30</v>
      </c>
      <c r="G266" s="6">
        <v>33600</v>
      </c>
      <c r="H266" s="6">
        <v>42000</v>
      </c>
      <c r="I266" s="5" t="s">
        <v>9</v>
      </c>
    </row>
    <row r="267" spans="1:9" ht="15.75" x14ac:dyDescent="0.25">
      <c r="A267" s="3" t="s">
        <v>26</v>
      </c>
      <c r="B267" s="8" t="s">
        <v>41</v>
      </c>
      <c r="C267" s="5" t="s">
        <v>66</v>
      </c>
      <c r="D267" s="5" t="s">
        <v>82</v>
      </c>
      <c r="E267" s="5">
        <v>11</v>
      </c>
      <c r="F267" s="5">
        <v>20</v>
      </c>
      <c r="G267" s="6">
        <v>13750</v>
      </c>
      <c r="H267" s="6">
        <v>25000</v>
      </c>
      <c r="I267" s="5" t="s">
        <v>6</v>
      </c>
    </row>
    <row r="268" spans="1:9" ht="15.75" x14ac:dyDescent="0.25">
      <c r="A268" s="3" t="s">
        <v>26</v>
      </c>
      <c r="B268" s="8" t="s">
        <v>41</v>
      </c>
      <c r="C268" s="5" t="s">
        <v>66</v>
      </c>
      <c r="D268" s="5" t="s">
        <v>83</v>
      </c>
      <c r="E268" s="5">
        <v>76</v>
      </c>
      <c r="F268" s="5">
        <v>91</v>
      </c>
      <c r="G268" s="6">
        <v>646000</v>
      </c>
      <c r="H268" s="6">
        <v>773500</v>
      </c>
      <c r="I268" s="5" t="s">
        <v>6</v>
      </c>
    </row>
    <row r="269" spans="1:9" ht="15.75" x14ac:dyDescent="0.25">
      <c r="A269" s="3" t="s">
        <v>26</v>
      </c>
      <c r="B269" s="8" t="s">
        <v>41</v>
      </c>
      <c r="C269" s="5" t="s">
        <v>66</v>
      </c>
      <c r="D269" s="5" t="s">
        <v>84</v>
      </c>
      <c r="E269" s="5">
        <v>32</v>
      </c>
      <c r="F269" s="5">
        <v>62</v>
      </c>
      <c r="G269" s="6">
        <v>44800</v>
      </c>
      <c r="H269" s="6">
        <v>86800</v>
      </c>
      <c r="I269" s="5" t="s">
        <v>6</v>
      </c>
    </row>
    <row r="270" spans="1:9" ht="15.75" x14ac:dyDescent="0.25">
      <c r="A270" s="3" t="s">
        <v>26</v>
      </c>
      <c r="B270" s="8" t="s">
        <v>41</v>
      </c>
      <c r="C270" s="5" t="s">
        <v>66</v>
      </c>
      <c r="D270" s="5" t="s">
        <v>82</v>
      </c>
      <c r="E270" s="5">
        <v>1</v>
      </c>
      <c r="F270" s="5">
        <v>2</v>
      </c>
      <c r="G270" s="6">
        <v>1250</v>
      </c>
      <c r="H270" s="6">
        <v>2500</v>
      </c>
      <c r="I270" s="5" t="s">
        <v>11</v>
      </c>
    </row>
    <row r="271" spans="1:9" ht="15.75" x14ac:dyDescent="0.25">
      <c r="A271" s="3" t="s">
        <v>26</v>
      </c>
      <c r="B271" s="8" t="s">
        <v>41</v>
      </c>
      <c r="C271" s="5" t="s">
        <v>66</v>
      </c>
      <c r="D271" s="5" t="s">
        <v>83</v>
      </c>
      <c r="E271" s="5">
        <v>24</v>
      </c>
      <c r="F271" s="5">
        <v>52</v>
      </c>
      <c r="G271" s="6">
        <v>204000</v>
      </c>
      <c r="H271" s="6">
        <v>442000</v>
      </c>
      <c r="I271" s="5" t="s">
        <v>11</v>
      </c>
    </row>
    <row r="272" spans="1:9" ht="15.75" x14ac:dyDescent="0.25">
      <c r="A272" s="3" t="s">
        <v>26</v>
      </c>
      <c r="B272" s="8" t="s">
        <v>41</v>
      </c>
      <c r="C272" s="5" t="s">
        <v>66</v>
      </c>
      <c r="D272" s="5" t="s">
        <v>84</v>
      </c>
      <c r="E272" s="5">
        <v>14</v>
      </c>
      <c r="F272" s="5">
        <v>31</v>
      </c>
      <c r="G272" s="6">
        <v>19600</v>
      </c>
      <c r="H272" s="6">
        <v>43400</v>
      </c>
      <c r="I272" s="5" t="s">
        <v>11</v>
      </c>
    </row>
    <row r="273" spans="1:9" ht="15.75" x14ac:dyDescent="0.25">
      <c r="A273" s="3" t="s">
        <v>26</v>
      </c>
      <c r="B273" s="8" t="s">
        <v>41</v>
      </c>
      <c r="C273" s="5" t="s">
        <v>66</v>
      </c>
      <c r="D273" s="5" t="s">
        <v>82</v>
      </c>
      <c r="E273" s="5">
        <v>16</v>
      </c>
      <c r="F273" s="5">
        <v>19</v>
      </c>
      <c r="G273" s="6">
        <v>20000</v>
      </c>
      <c r="H273" s="6">
        <v>23750</v>
      </c>
      <c r="I273" s="5" t="s">
        <v>3</v>
      </c>
    </row>
    <row r="274" spans="1:9" ht="15.75" x14ac:dyDescent="0.25">
      <c r="A274" s="3" t="s">
        <v>26</v>
      </c>
      <c r="B274" s="8" t="s">
        <v>41</v>
      </c>
      <c r="C274" s="5" t="s">
        <v>66</v>
      </c>
      <c r="D274" s="5" t="s">
        <v>83</v>
      </c>
      <c r="E274" s="5">
        <v>2</v>
      </c>
      <c r="F274" s="5">
        <v>8</v>
      </c>
      <c r="G274" s="6">
        <v>17000</v>
      </c>
      <c r="H274" s="6">
        <v>68000</v>
      </c>
      <c r="I274" s="5" t="s">
        <v>3</v>
      </c>
    </row>
    <row r="275" spans="1:9" ht="15.75" x14ac:dyDescent="0.25">
      <c r="A275" s="3" t="s">
        <v>26</v>
      </c>
      <c r="B275" s="8" t="s">
        <v>41</v>
      </c>
      <c r="C275" s="5" t="s">
        <v>66</v>
      </c>
      <c r="D275" s="5" t="s">
        <v>84</v>
      </c>
      <c r="E275" s="5">
        <v>40</v>
      </c>
      <c r="F275" s="5">
        <v>98</v>
      </c>
      <c r="G275" s="6">
        <v>56000</v>
      </c>
      <c r="H275" s="6">
        <v>137200</v>
      </c>
      <c r="I275" s="5" t="s">
        <v>3</v>
      </c>
    </row>
    <row r="276" spans="1:9" ht="15.75" x14ac:dyDescent="0.25">
      <c r="A276" s="3" t="s">
        <v>26</v>
      </c>
      <c r="B276" s="8" t="s">
        <v>41</v>
      </c>
      <c r="C276" s="5" t="s">
        <v>66</v>
      </c>
      <c r="D276" s="5" t="s">
        <v>82</v>
      </c>
      <c r="E276" s="5">
        <v>23</v>
      </c>
      <c r="F276" s="5">
        <v>25</v>
      </c>
      <c r="G276" s="6">
        <v>28750</v>
      </c>
      <c r="H276" s="6">
        <v>31250</v>
      </c>
      <c r="I276" s="5" t="s">
        <v>5</v>
      </c>
    </row>
    <row r="277" spans="1:9" ht="15.75" x14ac:dyDescent="0.25">
      <c r="A277" s="3" t="s">
        <v>26</v>
      </c>
      <c r="B277" s="8" t="s">
        <v>41</v>
      </c>
      <c r="C277" s="5" t="s">
        <v>66</v>
      </c>
      <c r="D277" s="5" t="s">
        <v>83</v>
      </c>
      <c r="E277" s="5">
        <v>58</v>
      </c>
      <c r="F277" s="5">
        <v>136</v>
      </c>
      <c r="G277" s="6">
        <v>493000</v>
      </c>
      <c r="H277" s="6">
        <v>1156000</v>
      </c>
      <c r="I277" s="5" t="s">
        <v>5</v>
      </c>
    </row>
    <row r="278" spans="1:9" ht="15.75" x14ac:dyDescent="0.25">
      <c r="A278" s="3" t="s">
        <v>26</v>
      </c>
      <c r="B278" s="8" t="s">
        <v>41</v>
      </c>
      <c r="C278" s="5" t="s">
        <v>66</v>
      </c>
      <c r="D278" s="5" t="s">
        <v>84</v>
      </c>
      <c r="E278" s="5">
        <v>27</v>
      </c>
      <c r="F278" s="5">
        <v>59</v>
      </c>
      <c r="G278" s="6">
        <v>37800</v>
      </c>
      <c r="H278" s="6">
        <v>82600</v>
      </c>
      <c r="I278" s="5" t="s">
        <v>5</v>
      </c>
    </row>
    <row r="279" spans="1:9" ht="15.75" x14ac:dyDescent="0.25">
      <c r="A279" s="3" t="s">
        <v>26</v>
      </c>
      <c r="B279" s="8" t="s">
        <v>41</v>
      </c>
      <c r="C279" s="5" t="s">
        <v>66</v>
      </c>
      <c r="D279" s="5" t="s">
        <v>82</v>
      </c>
      <c r="E279" s="5">
        <v>24</v>
      </c>
      <c r="F279" s="5">
        <v>26</v>
      </c>
      <c r="G279" s="6">
        <v>30000</v>
      </c>
      <c r="H279" s="6">
        <v>32500</v>
      </c>
      <c r="I279" s="5" t="s">
        <v>4</v>
      </c>
    </row>
    <row r="280" spans="1:9" ht="15.75" x14ac:dyDescent="0.25">
      <c r="A280" s="3" t="s">
        <v>26</v>
      </c>
      <c r="B280" s="8" t="s">
        <v>41</v>
      </c>
      <c r="C280" s="5" t="s">
        <v>66</v>
      </c>
      <c r="D280" s="5" t="s">
        <v>83</v>
      </c>
      <c r="E280" s="5">
        <v>14</v>
      </c>
      <c r="F280" s="5">
        <v>21</v>
      </c>
      <c r="G280" s="6">
        <v>119000</v>
      </c>
      <c r="H280" s="6">
        <v>178500</v>
      </c>
      <c r="I280" s="5" t="s">
        <v>4</v>
      </c>
    </row>
    <row r="281" spans="1:9" ht="15.75" x14ac:dyDescent="0.25">
      <c r="A281" s="3" t="s">
        <v>26</v>
      </c>
      <c r="B281" s="8" t="s">
        <v>41</v>
      </c>
      <c r="C281" s="5" t="s">
        <v>66</v>
      </c>
      <c r="D281" s="5" t="s">
        <v>84</v>
      </c>
      <c r="E281" s="5">
        <v>25</v>
      </c>
      <c r="F281" s="5">
        <v>29</v>
      </c>
      <c r="G281" s="6">
        <v>35000</v>
      </c>
      <c r="H281" s="6">
        <v>40600</v>
      </c>
      <c r="I281" s="5" t="s">
        <v>4</v>
      </c>
    </row>
    <row r="282" spans="1:9" ht="15.75" x14ac:dyDescent="0.25">
      <c r="A282" s="3" t="s">
        <v>26</v>
      </c>
      <c r="B282" s="8" t="s">
        <v>41</v>
      </c>
      <c r="C282" s="5" t="s">
        <v>66</v>
      </c>
      <c r="D282" s="5" t="s">
        <v>83</v>
      </c>
      <c r="E282" s="5">
        <v>21</v>
      </c>
      <c r="F282" s="5">
        <v>39</v>
      </c>
      <c r="G282" s="6">
        <v>178500</v>
      </c>
      <c r="H282" s="6">
        <v>331500</v>
      </c>
      <c r="I282" s="5" t="s">
        <v>1</v>
      </c>
    </row>
    <row r="283" spans="1:9" ht="15.75" x14ac:dyDescent="0.25">
      <c r="A283" s="3" t="s">
        <v>26</v>
      </c>
      <c r="B283" s="8" t="s">
        <v>41</v>
      </c>
      <c r="C283" s="5" t="s">
        <v>66</v>
      </c>
      <c r="D283" s="5" t="s">
        <v>84</v>
      </c>
      <c r="E283" s="5">
        <v>22</v>
      </c>
      <c r="F283" s="5">
        <v>27</v>
      </c>
      <c r="G283" s="6">
        <v>30800</v>
      </c>
      <c r="H283" s="6">
        <v>37800</v>
      </c>
      <c r="I283" s="5" t="s">
        <v>1</v>
      </c>
    </row>
    <row r="284" spans="1:9" ht="15.75" x14ac:dyDescent="0.25">
      <c r="A284" s="3" t="s">
        <v>26</v>
      </c>
      <c r="B284" s="8" t="s">
        <v>41</v>
      </c>
      <c r="C284" s="5" t="s">
        <v>66</v>
      </c>
      <c r="D284" s="5" t="s">
        <v>82</v>
      </c>
      <c r="E284" s="5">
        <v>4</v>
      </c>
      <c r="F284" s="5">
        <v>11</v>
      </c>
      <c r="G284" s="6">
        <v>5000</v>
      </c>
      <c r="H284" s="6">
        <v>13750</v>
      </c>
      <c r="I284" s="5" t="s">
        <v>2</v>
      </c>
    </row>
    <row r="285" spans="1:9" ht="15.75" x14ac:dyDescent="0.25">
      <c r="A285" s="3" t="s">
        <v>26</v>
      </c>
      <c r="B285" s="8" t="s">
        <v>41</v>
      </c>
      <c r="C285" s="5" t="s">
        <v>66</v>
      </c>
      <c r="D285" s="5" t="s">
        <v>83</v>
      </c>
      <c r="E285" s="5">
        <v>29</v>
      </c>
      <c r="F285" s="5">
        <v>42</v>
      </c>
      <c r="G285" s="6">
        <v>246500</v>
      </c>
      <c r="H285" s="6">
        <v>357000</v>
      </c>
      <c r="I285" s="5" t="s">
        <v>2</v>
      </c>
    </row>
    <row r="286" spans="1:9" ht="15.75" x14ac:dyDescent="0.25">
      <c r="A286" s="3" t="s">
        <v>26</v>
      </c>
      <c r="B286" s="8" t="s">
        <v>41</v>
      </c>
      <c r="C286" s="5" t="s">
        <v>66</v>
      </c>
      <c r="D286" s="5" t="s">
        <v>84</v>
      </c>
      <c r="E286" s="5">
        <v>35</v>
      </c>
      <c r="F286" s="5">
        <v>63</v>
      </c>
      <c r="G286" s="6">
        <v>49000</v>
      </c>
      <c r="H286" s="6">
        <v>88200</v>
      </c>
      <c r="I286" s="5" t="s">
        <v>2</v>
      </c>
    </row>
    <row r="287" spans="1:9" ht="15.75" x14ac:dyDescent="0.25">
      <c r="A287" s="3" t="s">
        <v>26</v>
      </c>
      <c r="B287" s="8" t="s">
        <v>41</v>
      </c>
      <c r="C287" s="5" t="s">
        <v>66</v>
      </c>
      <c r="D287" s="5" t="s">
        <v>82</v>
      </c>
      <c r="E287" s="5">
        <v>47</v>
      </c>
      <c r="F287" s="5">
        <v>108</v>
      </c>
      <c r="G287" s="6">
        <v>58750</v>
      </c>
      <c r="H287" s="6">
        <v>135000</v>
      </c>
      <c r="I287" s="5" t="s">
        <v>7</v>
      </c>
    </row>
    <row r="288" spans="1:9" ht="15.75" x14ac:dyDescent="0.25">
      <c r="A288" s="3" t="s">
        <v>26</v>
      </c>
      <c r="B288" s="8" t="s">
        <v>41</v>
      </c>
      <c r="C288" s="5" t="s">
        <v>66</v>
      </c>
      <c r="D288" s="5" t="s">
        <v>83</v>
      </c>
      <c r="E288" s="5">
        <v>2</v>
      </c>
      <c r="F288" s="5">
        <v>16</v>
      </c>
      <c r="G288" s="6">
        <v>17000</v>
      </c>
      <c r="H288" s="6">
        <v>136000</v>
      </c>
      <c r="I288" s="5" t="s">
        <v>7</v>
      </c>
    </row>
    <row r="289" spans="1:9" ht="15.75" x14ac:dyDescent="0.25">
      <c r="A289" s="3" t="s">
        <v>26</v>
      </c>
      <c r="B289" s="8" t="s">
        <v>41</v>
      </c>
      <c r="C289" s="5" t="s">
        <v>66</v>
      </c>
      <c r="D289" s="5" t="s">
        <v>84</v>
      </c>
      <c r="E289" s="5">
        <v>20</v>
      </c>
      <c r="F289" s="5">
        <v>28</v>
      </c>
      <c r="G289" s="6">
        <v>28000</v>
      </c>
      <c r="H289" s="6">
        <v>39200</v>
      </c>
      <c r="I289" s="5" t="s">
        <v>7</v>
      </c>
    </row>
    <row r="290" spans="1:9" ht="15.75" x14ac:dyDescent="0.25">
      <c r="A290" s="3" t="s">
        <v>27</v>
      </c>
      <c r="B290" s="8" t="s">
        <v>42</v>
      </c>
      <c r="C290" s="5" t="s">
        <v>67</v>
      </c>
      <c r="D290" s="5" t="s">
        <v>82</v>
      </c>
      <c r="E290" s="5">
        <v>7</v>
      </c>
      <c r="F290" s="5">
        <v>13</v>
      </c>
      <c r="G290" s="6">
        <v>8750</v>
      </c>
      <c r="H290" s="6">
        <v>16250</v>
      </c>
      <c r="I290" s="5" t="s">
        <v>8</v>
      </c>
    </row>
    <row r="291" spans="1:9" ht="15.75" x14ac:dyDescent="0.25">
      <c r="A291" s="3" t="s">
        <v>27</v>
      </c>
      <c r="B291" s="8" t="s">
        <v>42</v>
      </c>
      <c r="C291" s="5" t="s">
        <v>67</v>
      </c>
      <c r="D291" s="5" t="s">
        <v>83</v>
      </c>
      <c r="E291" s="5">
        <v>8</v>
      </c>
      <c r="F291" s="5">
        <v>44</v>
      </c>
      <c r="G291" s="6">
        <v>68000</v>
      </c>
      <c r="H291" s="6">
        <v>374000</v>
      </c>
      <c r="I291" s="5" t="s">
        <v>8</v>
      </c>
    </row>
    <row r="292" spans="1:9" ht="15.75" x14ac:dyDescent="0.25">
      <c r="A292" s="3" t="s">
        <v>27</v>
      </c>
      <c r="B292" s="8" t="s">
        <v>42</v>
      </c>
      <c r="C292" s="5" t="s">
        <v>67</v>
      </c>
      <c r="D292" s="5" t="s">
        <v>84</v>
      </c>
      <c r="E292" s="5">
        <v>27</v>
      </c>
      <c r="F292" s="5">
        <v>32</v>
      </c>
      <c r="G292" s="6">
        <v>37800</v>
      </c>
      <c r="H292" s="6">
        <v>44800</v>
      </c>
      <c r="I292" s="5" t="s">
        <v>8</v>
      </c>
    </row>
    <row r="293" spans="1:9" ht="15.75" x14ac:dyDescent="0.25">
      <c r="A293" s="3" t="s">
        <v>27</v>
      </c>
      <c r="B293" s="8" t="s">
        <v>42</v>
      </c>
      <c r="C293" s="5" t="s">
        <v>67</v>
      </c>
      <c r="D293" s="5" t="s">
        <v>82</v>
      </c>
      <c r="E293" s="5">
        <v>58</v>
      </c>
      <c r="F293" s="5">
        <v>61</v>
      </c>
      <c r="G293" s="6">
        <v>72500</v>
      </c>
      <c r="H293" s="6">
        <v>76250</v>
      </c>
      <c r="I293" s="5" t="s">
        <v>12</v>
      </c>
    </row>
    <row r="294" spans="1:9" ht="15.75" x14ac:dyDescent="0.25">
      <c r="A294" s="3" t="s">
        <v>27</v>
      </c>
      <c r="B294" s="8" t="s">
        <v>42</v>
      </c>
      <c r="C294" s="5" t="s">
        <v>67</v>
      </c>
      <c r="D294" s="5" t="s">
        <v>82</v>
      </c>
      <c r="E294" s="5">
        <v>66</v>
      </c>
      <c r="F294" s="5">
        <v>76</v>
      </c>
      <c r="G294" s="6">
        <v>82500</v>
      </c>
      <c r="H294" s="6">
        <v>95000</v>
      </c>
      <c r="I294" s="5" t="s">
        <v>12</v>
      </c>
    </row>
    <row r="295" spans="1:9" ht="15.75" x14ac:dyDescent="0.25">
      <c r="A295" s="3" t="s">
        <v>27</v>
      </c>
      <c r="B295" s="8" t="s">
        <v>42</v>
      </c>
      <c r="C295" s="5" t="s">
        <v>67</v>
      </c>
      <c r="D295" s="5" t="s">
        <v>83</v>
      </c>
      <c r="E295" s="5">
        <v>37</v>
      </c>
      <c r="F295" s="5">
        <v>39</v>
      </c>
      <c r="G295" s="6">
        <v>314500</v>
      </c>
      <c r="H295" s="6">
        <v>331500</v>
      </c>
      <c r="I295" s="5" t="s">
        <v>12</v>
      </c>
    </row>
    <row r="296" spans="1:9" ht="15.75" x14ac:dyDescent="0.25">
      <c r="A296" s="3" t="s">
        <v>27</v>
      </c>
      <c r="B296" s="8" t="s">
        <v>42</v>
      </c>
      <c r="C296" s="5" t="s">
        <v>67</v>
      </c>
      <c r="D296" s="5" t="s">
        <v>84</v>
      </c>
      <c r="E296" s="5">
        <v>3</v>
      </c>
      <c r="F296" s="5">
        <v>6</v>
      </c>
      <c r="G296" s="6">
        <v>4200</v>
      </c>
      <c r="H296" s="6">
        <v>8400</v>
      </c>
      <c r="I296" s="5" t="s">
        <v>12</v>
      </c>
    </row>
    <row r="297" spans="1:9" ht="15.75" x14ac:dyDescent="0.25">
      <c r="A297" s="3" t="s">
        <v>27</v>
      </c>
      <c r="B297" s="8" t="s">
        <v>42</v>
      </c>
      <c r="C297" s="5" t="s">
        <v>67</v>
      </c>
      <c r="D297" s="5" t="s">
        <v>82</v>
      </c>
      <c r="E297" s="5">
        <v>11</v>
      </c>
      <c r="F297" s="5">
        <v>20</v>
      </c>
      <c r="G297" s="6">
        <v>13750</v>
      </c>
      <c r="H297" s="6">
        <v>25000</v>
      </c>
      <c r="I297" s="5" t="s">
        <v>10</v>
      </c>
    </row>
    <row r="298" spans="1:9" ht="15.75" x14ac:dyDescent="0.25">
      <c r="A298" s="3" t="s">
        <v>27</v>
      </c>
      <c r="B298" s="8" t="s">
        <v>42</v>
      </c>
      <c r="C298" s="5" t="s">
        <v>67</v>
      </c>
      <c r="D298" s="5" t="s">
        <v>83</v>
      </c>
      <c r="E298" s="5">
        <v>22</v>
      </c>
      <c r="F298" s="5">
        <v>102</v>
      </c>
      <c r="G298" s="6">
        <v>187000</v>
      </c>
      <c r="H298" s="6">
        <v>867000</v>
      </c>
      <c r="I298" s="5" t="s">
        <v>10</v>
      </c>
    </row>
    <row r="299" spans="1:9" ht="15.75" x14ac:dyDescent="0.25">
      <c r="A299" s="3" t="s">
        <v>27</v>
      </c>
      <c r="B299" s="8" t="s">
        <v>42</v>
      </c>
      <c r="C299" s="5" t="s">
        <v>67</v>
      </c>
      <c r="D299" s="5" t="s">
        <v>84</v>
      </c>
      <c r="E299" s="5">
        <v>21</v>
      </c>
      <c r="F299" s="5">
        <v>27</v>
      </c>
      <c r="G299" s="6">
        <v>29400</v>
      </c>
      <c r="H299" s="6">
        <v>37800</v>
      </c>
      <c r="I299" s="5" t="s">
        <v>10</v>
      </c>
    </row>
    <row r="300" spans="1:9" ht="15.75" x14ac:dyDescent="0.25">
      <c r="A300" s="3" t="s">
        <v>27</v>
      </c>
      <c r="B300" s="8" t="s">
        <v>42</v>
      </c>
      <c r="C300" s="5" t="s">
        <v>67</v>
      </c>
      <c r="D300" s="5" t="s">
        <v>82</v>
      </c>
      <c r="E300" s="5">
        <v>42</v>
      </c>
      <c r="F300" s="5">
        <v>64</v>
      </c>
      <c r="G300" s="6">
        <v>52500</v>
      </c>
      <c r="H300" s="6">
        <v>80000</v>
      </c>
      <c r="I300" s="5" t="s">
        <v>9</v>
      </c>
    </row>
    <row r="301" spans="1:9" ht="15.75" x14ac:dyDescent="0.25">
      <c r="A301" s="3" t="s">
        <v>27</v>
      </c>
      <c r="B301" s="8" t="s">
        <v>42</v>
      </c>
      <c r="C301" s="5" t="s">
        <v>67</v>
      </c>
      <c r="D301" s="5" t="s">
        <v>83</v>
      </c>
      <c r="E301" s="5">
        <v>49</v>
      </c>
      <c r="F301" s="5">
        <v>57</v>
      </c>
      <c r="G301" s="6">
        <v>416500</v>
      </c>
      <c r="H301" s="6">
        <v>484500</v>
      </c>
      <c r="I301" s="5" t="s">
        <v>9</v>
      </c>
    </row>
    <row r="302" spans="1:9" ht="15.75" x14ac:dyDescent="0.25">
      <c r="A302" s="3" t="s">
        <v>27</v>
      </c>
      <c r="B302" s="8" t="s">
        <v>42</v>
      </c>
      <c r="C302" s="5" t="s">
        <v>67</v>
      </c>
      <c r="D302" s="5" t="s">
        <v>84</v>
      </c>
      <c r="E302" s="5">
        <v>26</v>
      </c>
      <c r="F302" s="5">
        <v>67</v>
      </c>
      <c r="G302" s="6">
        <v>36400</v>
      </c>
      <c r="H302" s="6">
        <v>93800</v>
      </c>
      <c r="I302" s="5" t="s">
        <v>9</v>
      </c>
    </row>
    <row r="303" spans="1:9" ht="15.75" x14ac:dyDescent="0.25">
      <c r="A303" s="3" t="s">
        <v>27</v>
      </c>
      <c r="B303" s="8" t="s">
        <v>42</v>
      </c>
      <c r="C303" s="5" t="s">
        <v>67</v>
      </c>
      <c r="D303" s="5" t="s">
        <v>82</v>
      </c>
      <c r="E303" s="5">
        <v>19</v>
      </c>
      <c r="F303" s="5">
        <v>46</v>
      </c>
      <c r="G303" s="6">
        <v>23750</v>
      </c>
      <c r="H303" s="6">
        <v>57500</v>
      </c>
      <c r="I303" s="5" t="s">
        <v>6</v>
      </c>
    </row>
    <row r="304" spans="1:9" ht="15.75" x14ac:dyDescent="0.25">
      <c r="A304" s="3" t="s">
        <v>27</v>
      </c>
      <c r="B304" s="8" t="s">
        <v>42</v>
      </c>
      <c r="C304" s="5" t="s">
        <v>67</v>
      </c>
      <c r="D304" s="5" t="s">
        <v>83</v>
      </c>
      <c r="E304" s="5">
        <v>31</v>
      </c>
      <c r="F304" s="5">
        <v>110</v>
      </c>
      <c r="G304" s="6">
        <v>263500</v>
      </c>
      <c r="H304" s="6">
        <v>935000</v>
      </c>
      <c r="I304" s="5" t="s">
        <v>6</v>
      </c>
    </row>
    <row r="305" spans="1:9" ht="15.75" x14ac:dyDescent="0.25">
      <c r="A305" s="3" t="s">
        <v>27</v>
      </c>
      <c r="B305" s="8" t="s">
        <v>42</v>
      </c>
      <c r="C305" s="5" t="s">
        <v>67</v>
      </c>
      <c r="D305" s="5" t="s">
        <v>84</v>
      </c>
      <c r="E305" s="5">
        <v>1</v>
      </c>
      <c r="F305" s="5">
        <v>4</v>
      </c>
      <c r="G305" s="6">
        <v>1400</v>
      </c>
      <c r="H305" s="6">
        <v>5600</v>
      </c>
      <c r="I305" s="5" t="s">
        <v>6</v>
      </c>
    </row>
    <row r="306" spans="1:9" ht="15.75" x14ac:dyDescent="0.25">
      <c r="A306" s="3" t="s">
        <v>27</v>
      </c>
      <c r="B306" s="8" t="s">
        <v>42</v>
      </c>
      <c r="C306" s="5" t="s">
        <v>67</v>
      </c>
      <c r="D306" s="5" t="s">
        <v>82</v>
      </c>
      <c r="E306" s="5">
        <v>47</v>
      </c>
      <c r="F306" s="5">
        <v>72</v>
      </c>
      <c r="G306" s="6">
        <v>58750</v>
      </c>
      <c r="H306" s="6">
        <v>90000</v>
      </c>
      <c r="I306" s="5" t="s">
        <v>11</v>
      </c>
    </row>
    <row r="307" spans="1:9" ht="15.75" x14ac:dyDescent="0.25">
      <c r="A307" s="3" t="s">
        <v>27</v>
      </c>
      <c r="B307" s="8" t="s">
        <v>42</v>
      </c>
      <c r="C307" s="5" t="s">
        <v>67</v>
      </c>
      <c r="D307" s="5" t="s">
        <v>83</v>
      </c>
      <c r="E307" s="5">
        <v>4</v>
      </c>
      <c r="F307" s="5">
        <v>24</v>
      </c>
      <c r="G307" s="6">
        <v>34000</v>
      </c>
      <c r="H307" s="6">
        <v>204000</v>
      </c>
      <c r="I307" s="5" t="s">
        <v>11</v>
      </c>
    </row>
    <row r="308" spans="1:9" ht="15.75" x14ac:dyDescent="0.25">
      <c r="A308" s="3" t="s">
        <v>27</v>
      </c>
      <c r="B308" s="8" t="s">
        <v>42</v>
      </c>
      <c r="C308" s="5" t="s">
        <v>67</v>
      </c>
      <c r="D308" s="5" t="s">
        <v>84</v>
      </c>
      <c r="E308" s="5">
        <v>65</v>
      </c>
      <c r="F308" s="5">
        <v>79</v>
      </c>
      <c r="G308" s="6">
        <v>91000</v>
      </c>
      <c r="H308" s="6">
        <v>110600</v>
      </c>
      <c r="I308" s="5" t="s">
        <v>11</v>
      </c>
    </row>
    <row r="309" spans="1:9" ht="15.75" x14ac:dyDescent="0.25">
      <c r="A309" s="3" t="s">
        <v>27</v>
      </c>
      <c r="B309" s="8" t="s">
        <v>42</v>
      </c>
      <c r="C309" s="5" t="s">
        <v>67</v>
      </c>
      <c r="D309" s="5" t="s">
        <v>82</v>
      </c>
      <c r="E309" s="5">
        <v>2</v>
      </c>
      <c r="F309" s="5">
        <v>11</v>
      </c>
      <c r="G309" s="6">
        <v>2500</v>
      </c>
      <c r="H309" s="6">
        <v>13750</v>
      </c>
      <c r="I309" s="5" t="s">
        <v>3</v>
      </c>
    </row>
    <row r="310" spans="1:9" ht="15.75" x14ac:dyDescent="0.25">
      <c r="A310" s="3" t="s">
        <v>27</v>
      </c>
      <c r="B310" s="8" t="s">
        <v>42</v>
      </c>
      <c r="C310" s="5" t="s">
        <v>67</v>
      </c>
      <c r="D310" s="5" t="s">
        <v>83</v>
      </c>
      <c r="E310" s="5">
        <v>45</v>
      </c>
      <c r="F310" s="5">
        <v>105</v>
      </c>
      <c r="G310" s="6">
        <v>382500</v>
      </c>
      <c r="H310" s="6">
        <v>892500</v>
      </c>
      <c r="I310" s="5" t="s">
        <v>3</v>
      </c>
    </row>
    <row r="311" spans="1:9" ht="15.75" x14ac:dyDescent="0.25">
      <c r="A311" s="3" t="s">
        <v>27</v>
      </c>
      <c r="B311" s="8" t="s">
        <v>42</v>
      </c>
      <c r="C311" s="5" t="s">
        <v>67</v>
      </c>
      <c r="D311" s="5" t="s">
        <v>84</v>
      </c>
      <c r="E311" s="5">
        <v>16</v>
      </c>
      <c r="F311" s="5">
        <v>43</v>
      </c>
      <c r="G311" s="6">
        <v>22400</v>
      </c>
      <c r="H311" s="6">
        <v>60200</v>
      </c>
      <c r="I311" s="5" t="s">
        <v>3</v>
      </c>
    </row>
    <row r="312" spans="1:9" ht="15.75" x14ac:dyDescent="0.25">
      <c r="A312" s="3" t="s">
        <v>27</v>
      </c>
      <c r="B312" s="8" t="s">
        <v>42</v>
      </c>
      <c r="C312" s="5" t="s">
        <v>67</v>
      </c>
      <c r="D312" s="5" t="s">
        <v>82</v>
      </c>
      <c r="E312" s="5">
        <v>1</v>
      </c>
      <c r="F312" s="5">
        <v>10</v>
      </c>
      <c r="G312" s="6">
        <v>1250</v>
      </c>
      <c r="H312" s="6">
        <v>12500</v>
      </c>
      <c r="I312" s="5" t="s">
        <v>5</v>
      </c>
    </row>
    <row r="313" spans="1:9" ht="15.75" x14ac:dyDescent="0.25">
      <c r="A313" s="3" t="s">
        <v>27</v>
      </c>
      <c r="B313" s="8" t="s">
        <v>42</v>
      </c>
      <c r="C313" s="5" t="s">
        <v>67</v>
      </c>
      <c r="D313" s="5" t="s">
        <v>83</v>
      </c>
      <c r="E313" s="5">
        <v>4</v>
      </c>
      <c r="F313" s="5">
        <v>16</v>
      </c>
      <c r="G313" s="6">
        <v>34000</v>
      </c>
      <c r="H313" s="6">
        <v>136000</v>
      </c>
      <c r="I313" s="5" t="s">
        <v>5</v>
      </c>
    </row>
    <row r="314" spans="1:9" ht="15.75" x14ac:dyDescent="0.25">
      <c r="A314" s="3" t="s">
        <v>27</v>
      </c>
      <c r="B314" s="8" t="s">
        <v>42</v>
      </c>
      <c r="C314" s="5" t="s">
        <v>67</v>
      </c>
      <c r="D314" s="5" t="s">
        <v>84</v>
      </c>
      <c r="E314" s="5">
        <v>138</v>
      </c>
      <c r="F314" s="5">
        <v>138</v>
      </c>
      <c r="G314" s="6">
        <v>193200</v>
      </c>
      <c r="H314" s="6">
        <v>193200</v>
      </c>
      <c r="I314" s="5" t="s">
        <v>5</v>
      </c>
    </row>
    <row r="315" spans="1:9" ht="15.75" x14ac:dyDescent="0.25">
      <c r="A315" s="3" t="s">
        <v>27</v>
      </c>
      <c r="B315" s="8" t="s">
        <v>42</v>
      </c>
      <c r="C315" s="5" t="s">
        <v>67</v>
      </c>
      <c r="D315" s="5" t="s">
        <v>82</v>
      </c>
      <c r="E315" s="5">
        <v>20</v>
      </c>
      <c r="F315" s="5">
        <v>24</v>
      </c>
      <c r="G315" s="6">
        <v>25000</v>
      </c>
      <c r="H315" s="6">
        <v>30000</v>
      </c>
      <c r="I315" s="5" t="s">
        <v>4</v>
      </c>
    </row>
    <row r="316" spans="1:9" ht="15.75" x14ac:dyDescent="0.25">
      <c r="A316" s="3" t="s">
        <v>27</v>
      </c>
      <c r="B316" s="8" t="s">
        <v>42</v>
      </c>
      <c r="C316" s="5" t="s">
        <v>67</v>
      </c>
      <c r="D316" s="5" t="s">
        <v>83</v>
      </c>
      <c r="E316" s="5">
        <v>1</v>
      </c>
      <c r="F316" s="5">
        <v>9</v>
      </c>
      <c r="G316" s="6">
        <v>8500</v>
      </c>
      <c r="H316" s="6">
        <v>76500</v>
      </c>
      <c r="I316" s="5" t="s">
        <v>4</v>
      </c>
    </row>
    <row r="317" spans="1:9" ht="15.75" x14ac:dyDescent="0.25">
      <c r="A317" s="3" t="s">
        <v>27</v>
      </c>
      <c r="B317" s="8" t="s">
        <v>42</v>
      </c>
      <c r="C317" s="5" t="s">
        <v>67</v>
      </c>
      <c r="D317" s="5" t="s">
        <v>84</v>
      </c>
      <c r="E317" s="5">
        <v>64</v>
      </c>
      <c r="F317" s="5">
        <v>66</v>
      </c>
      <c r="G317" s="6">
        <v>89600</v>
      </c>
      <c r="H317" s="6">
        <v>92400</v>
      </c>
      <c r="I317" s="5" t="s">
        <v>4</v>
      </c>
    </row>
    <row r="318" spans="1:9" ht="15.75" x14ac:dyDescent="0.25">
      <c r="A318" s="3" t="s">
        <v>27</v>
      </c>
      <c r="B318" s="8" t="s">
        <v>42</v>
      </c>
      <c r="C318" s="5" t="s">
        <v>67</v>
      </c>
      <c r="D318" s="5" t="s">
        <v>83</v>
      </c>
      <c r="E318" s="5">
        <v>5</v>
      </c>
      <c r="F318" s="5">
        <v>8</v>
      </c>
      <c r="G318" s="6">
        <v>42500</v>
      </c>
      <c r="H318" s="6">
        <v>68000</v>
      </c>
      <c r="I318" s="5" t="s">
        <v>1</v>
      </c>
    </row>
    <row r="319" spans="1:9" ht="15.75" x14ac:dyDescent="0.25">
      <c r="A319" s="3" t="s">
        <v>27</v>
      </c>
      <c r="B319" s="8" t="s">
        <v>42</v>
      </c>
      <c r="C319" s="5" t="s">
        <v>67</v>
      </c>
      <c r="D319" s="5" t="s">
        <v>84</v>
      </c>
      <c r="E319" s="5">
        <v>26</v>
      </c>
      <c r="F319" s="5">
        <v>26</v>
      </c>
      <c r="G319" s="6">
        <v>36400</v>
      </c>
      <c r="H319" s="6">
        <v>36400</v>
      </c>
      <c r="I319" s="5" t="s">
        <v>1</v>
      </c>
    </row>
    <row r="320" spans="1:9" ht="15.75" x14ac:dyDescent="0.25">
      <c r="A320" s="3" t="s">
        <v>27</v>
      </c>
      <c r="B320" s="8" t="s">
        <v>42</v>
      </c>
      <c r="C320" s="5" t="s">
        <v>67</v>
      </c>
      <c r="D320" s="5" t="s">
        <v>82</v>
      </c>
      <c r="E320" s="5">
        <v>24</v>
      </c>
      <c r="F320" s="5">
        <v>67</v>
      </c>
      <c r="G320" s="6">
        <v>30000</v>
      </c>
      <c r="H320" s="6">
        <v>83750</v>
      </c>
      <c r="I320" s="5" t="s">
        <v>2</v>
      </c>
    </row>
    <row r="321" spans="1:9" ht="15.75" x14ac:dyDescent="0.25">
      <c r="A321" s="3" t="s">
        <v>27</v>
      </c>
      <c r="B321" s="8" t="s">
        <v>42</v>
      </c>
      <c r="C321" s="5" t="s">
        <v>67</v>
      </c>
      <c r="D321" s="5" t="s">
        <v>83</v>
      </c>
      <c r="E321" s="5">
        <v>80</v>
      </c>
      <c r="F321" s="5">
        <v>92</v>
      </c>
      <c r="G321" s="6">
        <v>680000</v>
      </c>
      <c r="H321" s="6">
        <v>782000</v>
      </c>
      <c r="I321" s="5" t="s">
        <v>2</v>
      </c>
    </row>
    <row r="322" spans="1:9" ht="15.75" x14ac:dyDescent="0.25">
      <c r="A322" s="3" t="s">
        <v>27</v>
      </c>
      <c r="B322" s="8" t="s">
        <v>42</v>
      </c>
      <c r="C322" s="5" t="s">
        <v>67</v>
      </c>
      <c r="D322" s="5" t="s">
        <v>84</v>
      </c>
      <c r="E322" s="5">
        <v>7</v>
      </c>
      <c r="F322" s="5">
        <v>9</v>
      </c>
      <c r="G322" s="6">
        <v>9800</v>
      </c>
      <c r="H322" s="6">
        <v>12600</v>
      </c>
      <c r="I322" s="5" t="s">
        <v>2</v>
      </c>
    </row>
    <row r="323" spans="1:9" ht="15.75" x14ac:dyDescent="0.25">
      <c r="A323" s="3" t="s">
        <v>27</v>
      </c>
      <c r="B323" s="8" t="s">
        <v>42</v>
      </c>
      <c r="C323" s="5" t="s">
        <v>67</v>
      </c>
      <c r="D323" s="5" t="s">
        <v>82</v>
      </c>
      <c r="E323" s="5">
        <v>41</v>
      </c>
      <c r="F323" s="5">
        <v>48</v>
      </c>
      <c r="G323" s="6">
        <v>51250</v>
      </c>
      <c r="H323" s="6">
        <v>60000</v>
      </c>
      <c r="I323" s="5" t="s">
        <v>7</v>
      </c>
    </row>
    <row r="324" spans="1:9" ht="15.75" x14ac:dyDescent="0.25">
      <c r="A324" s="3" t="s">
        <v>27</v>
      </c>
      <c r="B324" s="8" t="s">
        <v>42</v>
      </c>
      <c r="C324" s="5" t="s">
        <v>67</v>
      </c>
      <c r="D324" s="5" t="s">
        <v>83</v>
      </c>
      <c r="E324" s="5">
        <v>50</v>
      </c>
      <c r="F324" s="5">
        <v>54</v>
      </c>
      <c r="G324" s="6">
        <v>425000</v>
      </c>
      <c r="H324" s="6">
        <v>459000</v>
      </c>
      <c r="I324" s="5" t="s">
        <v>7</v>
      </c>
    </row>
    <row r="325" spans="1:9" ht="15.75" x14ac:dyDescent="0.25">
      <c r="A325" s="3" t="s">
        <v>27</v>
      </c>
      <c r="B325" s="8" t="s">
        <v>42</v>
      </c>
      <c r="C325" s="5" t="s">
        <v>67</v>
      </c>
      <c r="D325" s="5" t="s">
        <v>84</v>
      </c>
      <c r="E325" s="5">
        <v>53</v>
      </c>
      <c r="F325" s="5">
        <v>70</v>
      </c>
      <c r="G325" s="6">
        <v>74200</v>
      </c>
      <c r="H325" s="6">
        <v>98000</v>
      </c>
      <c r="I325" s="5" t="s">
        <v>7</v>
      </c>
    </row>
    <row r="326" spans="1:9" ht="15.75" x14ac:dyDescent="0.25">
      <c r="A326" s="3" t="s">
        <v>28</v>
      </c>
      <c r="B326" s="8" t="s">
        <v>43</v>
      </c>
      <c r="C326" s="5" t="s">
        <v>68</v>
      </c>
      <c r="D326" s="5" t="s">
        <v>82</v>
      </c>
      <c r="E326" s="5">
        <v>13</v>
      </c>
      <c r="F326" s="5">
        <v>66</v>
      </c>
      <c r="G326" s="6">
        <v>16250</v>
      </c>
      <c r="H326" s="6">
        <v>82500</v>
      </c>
      <c r="I326" s="5" t="s">
        <v>8</v>
      </c>
    </row>
    <row r="327" spans="1:9" ht="15.75" x14ac:dyDescent="0.25">
      <c r="A327" s="3" t="s">
        <v>28</v>
      </c>
      <c r="B327" s="8" t="s">
        <v>43</v>
      </c>
      <c r="C327" s="5" t="s">
        <v>68</v>
      </c>
      <c r="D327" s="5" t="s">
        <v>83</v>
      </c>
      <c r="E327" s="5">
        <v>54</v>
      </c>
      <c r="F327" s="5">
        <v>111</v>
      </c>
      <c r="G327" s="6">
        <v>459000</v>
      </c>
      <c r="H327" s="6">
        <v>943500</v>
      </c>
      <c r="I327" s="5" t="s">
        <v>8</v>
      </c>
    </row>
    <row r="328" spans="1:9" ht="15.75" x14ac:dyDescent="0.25">
      <c r="A328" s="3" t="s">
        <v>28</v>
      </c>
      <c r="B328" s="8" t="s">
        <v>43</v>
      </c>
      <c r="C328" s="5" t="s">
        <v>68</v>
      </c>
      <c r="D328" s="5" t="s">
        <v>84</v>
      </c>
      <c r="E328" s="5">
        <v>37</v>
      </c>
      <c r="F328" s="5">
        <v>99</v>
      </c>
      <c r="G328" s="6">
        <v>51800</v>
      </c>
      <c r="H328" s="6">
        <v>138600</v>
      </c>
      <c r="I328" s="5" t="s">
        <v>8</v>
      </c>
    </row>
    <row r="329" spans="1:9" ht="15.75" x14ac:dyDescent="0.25">
      <c r="A329" s="3" t="s">
        <v>28</v>
      </c>
      <c r="B329" s="8" t="s">
        <v>43</v>
      </c>
      <c r="C329" s="5" t="s">
        <v>68</v>
      </c>
      <c r="D329" s="5" t="s">
        <v>82</v>
      </c>
      <c r="E329" s="5">
        <v>15</v>
      </c>
      <c r="F329" s="5">
        <v>49</v>
      </c>
      <c r="G329" s="6">
        <v>18750</v>
      </c>
      <c r="H329" s="6">
        <v>61250</v>
      </c>
      <c r="I329" s="5" t="s">
        <v>12</v>
      </c>
    </row>
    <row r="330" spans="1:9" ht="15.75" x14ac:dyDescent="0.25">
      <c r="A330" s="3" t="s">
        <v>28</v>
      </c>
      <c r="B330" s="8" t="s">
        <v>43</v>
      </c>
      <c r="C330" s="5" t="s">
        <v>68</v>
      </c>
      <c r="D330" s="5" t="s">
        <v>82</v>
      </c>
      <c r="E330" s="5">
        <v>12</v>
      </c>
      <c r="F330" s="5">
        <v>53</v>
      </c>
      <c r="G330" s="6">
        <v>15000</v>
      </c>
      <c r="H330" s="6">
        <v>66250</v>
      </c>
      <c r="I330" s="5" t="s">
        <v>12</v>
      </c>
    </row>
    <row r="331" spans="1:9" ht="15.75" x14ac:dyDescent="0.25">
      <c r="A331" s="3" t="s">
        <v>28</v>
      </c>
      <c r="B331" s="8" t="s">
        <v>43</v>
      </c>
      <c r="C331" s="5" t="s">
        <v>68</v>
      </c>
      <c r="D331" s="5" t="s">
        <v>83</v>
      </c>
      <c r="E331" s="5">
        <v>11</v>
      </c>
      <c r="F331" s="5">
        <v>37</v>
      </c>
      <c r="G331" s="6">
        <v>93500</v>
      </c>
      <c r="H331" s="6">
        <v>314500</v>
      </c>
      <c r="I331" s="5" t="s">
        <v>12</v>
      </c>
    </row>
    <row r="332" spans="1:9" ht="15.75" x14ac:dyDescent="0.25">
      <c r="A332" s="3" t="s">
        <v>28</v>
      </c>
      <c r="B332" s="8" t="s">
        <v>43</v>
      </c>
      <c r="C332" s="5" t="s">
        <v>68</v>
      </c>
      <c r="D332" s="5" t="s">
        <v>84</v>
      </c>
      <c r="E332" s="5">
        <v>12</v>
      </c>
      <c r="F332" s="5">
        <v>36</v>
      </c>
      <c r="G332" s="6">
        <v>16800</v>
      </c>
      <c r="H332" s="6">
        <v>50400</v>
      </c>
      <c r="I332" s="5" t="s">
        <v>12</v>
      </c>
    </row>
    <row r="333" spans="1:9" ht="15.75" x14ac:dyDescent="0.25">
      <c r="A333" s="3" t="s">
        <v>28</v>
      </c>
      <c r="B333" s="8" t="s">
        <v>43</v>
      </c>
      <c r="C333" s="5" t="s">
        <v>68</v>
      </c>
      <c r="D333" s="5" t="s">
        <v>82</v>
      </c>
      <c r="E333" s="5">
        <v>35</v>
      </c>
      <c r="F333" s="5">
        <v>45</v>
      </c>
      <c r="G333" s="6">
        <v>43750</v>
      </c>
      <c r="H333" s="6">
        <v>56250</v>
      </c>
      <c r="I333" s="5" t="s">
        <v>10</v>
      </c>
    </row>
    <row r="334" spans="1:9" ht="15.75" x14ac:dyDescent="0.25">
      <c r="A334" s="3" t="s">
        <v>28</v>
      </c>
      <c r="B334" s="8" t="s">
        <v>43</v>
      </c>
      <c r="C334" s="5" t="s">
        <v>68</v>
      </c>
      <c r="D334" s="5" t="s">
        <v>83</v>
      </c>
      <c r="E334" s="5">
        <v>18</v>
      </c>
      <c r="F334" s="5">
        <v>79</v>
      </c>
      <c r="G334" s="6">
        <v>153000</v>
      </c>
      <c r="H334" s="6">
        <v>671500</v>
      </c>
      <c r="I334" s="5" t="s">
        <v>10</v>
      </c>
    </row>
    <row r="335" spans="1:9" ht="15.75" x14ac:dyDescent="0.25">
      <c r="A335" s="3" t="s">
        <v>28</v>
      </c>
      <c r="B335" s="8" t="s">
        <v>43</v>
      </c>
      <c r="C335" s="5" t="s">
        <v>68</v>
      </c>
      <c r="D335" s="5" t="s">
        <v>84</v>
      </c>
      <c r="E335" s="5">
        <v>16</v>
      </c>
      <c r="F335" s="5">
        <v>49</v>
      </c>
      <c r="G335" s="6">
        <v>22400</v>
      </c>
      <c r="H335" s="6">
        <v>68600</v>
      </c>
      <c r="I335" s="5" t="s">
        <v>10</v>
      </c>
    </row>
    <row r="336" spans="1:9" ht="15.75" x14ac:dyDescent="0.25">
      <c r="A336" s="3" t="s">
        <v>28</v>
      </c>
      <c r="B336" s="8" t="s">
        <v>43</v>
      </c>
      <c r="C336" s="5" t="s">
        <v>68</v>
      </c>
      <c r="D336" s="5" t="s">
        <v>82</v>
      </c>
      <c r="E336" s="5">
        <v>18</v>
      </c>
      <c r="F336" s="5">
        <v>26</v>
      </c>
      <c r="G336" s="6">
        <v>22500</v>
      </c>
      <c r="H336" s="6">
        <v>32500</v>
      </c>
      <c r="I336" s="5" t="s">
        <v>9</v>
      </c>
    </row>
    <row r="337" spans="1:9" ht="15.75" x14ac:dyDescent="0.25">
      <c r="A337" s="3" t="s">
        <v>28</v>
      </c>
      <c r="B337" s="8" t="s">
        <v>43</v>
      </c>
      <c r="C337" s="5" t="s">
        <v>68</v>
      </c>
      <c r="D337" s="5" t="s">
        <v>83</v>
      </c>
      <c r="E337" s="5">
        <v>6</v>
      </c>
      <c r="F337" s="5">
        <v>22</v>
      </c>
      <c r="G337" s="6">
        <v>51000</v>
      </c>
      <c r="H337" s="6">
        <v>187000</v>
      </c>
      <c r="I337" s="5" t="s">
        <v>9</v>
      </c>
    </row>
    <row r="338" spans="1:9" ht="15.75" x14ac:dyDescent="0.25">
      <c r="A338" s="3" t="s">
        <v>28</v>
      </c>
      <c r="B338" s="8" t="s">
        <v>43</v>
      </c>
      <c r="C338" s="5" t="s">
        <v>68</v>
      </c>
      <c r="D338" s="5" t="s">
        <v>84</v>
      </c>
      <c r="E338" s="5">
        <v>5</v>
      </c>
      <c r="F338" s="5">
        <v>18</v>
      </c>
      <c r="G338" s="6">
        <v>7000</v>
      </c>
      <c r="H338" s="6">
        <v>25200</v>
      </c>
      <c r="I338" s="5" t="s">
        <v>9</v>
      </c>
    </row>
    <row r="339" spans="1:9" ht="15.75" x14ac:dyDescent="0.25">
      <c r="A339" s="3" t="s">
        <v>28</v>
      </c>
      <c r="B339" s="8" t="s">
        <v>43</v>
      </c>
      <c r="C339" s="5" t="s">
        <v>68</v>
      </c>
      <c r="D339" s="5" t="s">
        <v>82</v>
      </c>
      <c r="E339" s="5">
        <v>17</v>
      </c>
      <c r="F339" s="5">
        <v>35</v>
      </c>
      <c r="G339" s="6">
        <v>21250</v>
      </c>
      <c r="H339" s="6">
        <v>43750</v>
      </c>
      <c r="I339" s="5" t="s">
        <v>6</v>
      </c>
    </row>
    <row r="340" spans="1:9" ht="15.75" x14ac:dyDescent="0.25">
      <c r="A340" s="3" t="s">
        <v>28</v>
      </c>
      <c r="B340" s="8" t="s">
        <v>43</v>
      </c>
      <c r="C340" s="5" t="s">
        <v>68</v>
      </c>
      <c r="D340" s="5" t="s">
        <v>83</v>
      </c>
      <c r="E340" s="5">
        <v>17</v>
      </c>
      <c r="F340" s="5">
        <v>87</v>
      </c>
      <c r="G340" s="6">
        <v>144500</v>
      </c>
      <c r="H340" s="6">
        <v>739500</v>
      </c>
      <c r="I340" s="5" t="s">
        <v>6</v>
      </c>
    </row>
    <row r="341" spans="1:9" ht="15.75" x14ac:dyDescent="0.25">
      <c r="A341" s="3" t="s">
        <v>28</v>
      </c>
      <c r="B341" s="8" t="s">
        <v>43</v>
      </c>
      <c r="C341" s="5" t="s">
        <v>68</v>
      </c>
      <c r="D341" s="5" t="s">
        <v>84</v>
      </c>
      <c r="E341" s="5">
        <v>9</v>
      </c>
      <c r="F341" s="5">
        <v>12</v>
      </c>
      <c r="G341" s="6">
        <v>12600</v>
      </c>
      <c r="H341" s="6">
        <v>16800</v>
      </c>
      <c r="I341" s="5" t="s">
        <v>6</v>
      </c>
    </row>
    <row r="342" spans="1:9" ht="15.75" x14ac:dyDescent="0.25">
      <c r="A342" s="3" t="s">
        <v>28</v>
      </c>
      <c r="B342" s="8" t="s">
        <v>43</v>
      </c>
      <c r="C342" s="5" t="s">
        <v>68</v>
      </c>
      <c r="D342" s="5" t="s">
        <v>82</v>
      </c>
      <c r="E342" s="5">
        <v>49</v>
      </c>
      <c r="F342" s="5">
        <v>69</v>
      </c>
      <c r="G342" s="6">
        <v>61250</v>
      </c>
      <c r="H342" s="6">
        <v>86250</v>
      </c>
      <c r="I342" s="5" t="s">
        <v>11</v>
      </c>
    </row>
    <row r="343" spans="1:9" ht="15.75" x14ac:dyDescent="0.25">
      <c r="A343" s="3" t="s">
        <v>28</v>
      </c>
      <c r="B343" s="8" t="s">
        <v>43</v>
      </c>
      <c r="C343" s="5" t="s">
        <v>68</v>
      </c>
      <c r="D343" s="5" t="s">
        <v>83</v>
      </c>
      <c r="E343" s="5">
        <v>25</v>
      </c>
      <c r="F343" s="5">
        <v>32</v>
      </c>
      <c r="G343" s="6">
        <v>212500</v>
      </c>
      <c r="H343" s="6">
        <v>272000</v>
      </c>
      <c r="I343" s="5" t="s">
        <v>11</v>
      </c>
    </row>
    <row r="344" spans="1:9" ht="15.75" x14ac:dyDescent="0.25">
      <c r="A344" s="3" t="s">
        <v>28</v>
      </c>
      <c r="B344" s="8" t="s">
        <v>43</v>
      </c>
      <c r="C344" s="5" t="s">
        <v>68</v>
      </c>
      <c r="D344" s="5" t="s">
        <v>84</v>
      </c>
      <c r="E344" s="5">
        <v>8</v>
      </c>
      <c r="F344" s="5">
        <v>22</v>
      </c>
      <c r="G344" s="6">
        <v>11200</v>
      </c>
      <c r="H344" s="6">
        <v>30800</v>
      </c>
      <c r="I344" s="5" t="s">
        <v>11</v>
      </c>
    </row>
    <row r="345" spans="1:9" ht="15.75" x14ac:dyDescent="0.25">
      <c r="A345" s="3" t="s">
        <v>28</v>
      </c>
      <c r="B345" s="8" t="s">
        <v>43</v>
      </c>
      <c r="C345" s="5" t="s">
        <v>68</v>
      </c>
      <c r="D345" s="5" t="s">
        <v>82</v>
      </c>
      <c r="E345" s="5">
        <v>6</v>
      </c>
      <c r="F345" s="5">
        <v>8</v>
      </c>
      <c r="G345" s="6">
        <v>7500</v>
      </c>
      <c r="H345" s="6">
        <v>10000</v>
      </c>
      <c r="I345" s="5" t="s">
        <v>3</v>
      </c>
    </row>
    <row r="346" spans="1:9" ht="15.75" x14ac:dyDescent="0.25">
      <c r="A346" s="3" t="s">
        <v>28</v>
      </c>
      <c r="B346" s="8" t="s">
        <v>43</v>
      </c>
      <c r="C346" s="5" t="s">
        <v>68</v>
      </c>
      <c r="D346" s="5" t="s">
        <v>83</v>
      </c>
      <c r="E346" s="5">
        <v>72</v>
      </c>
      <c r="F346" s="5">
        <v>108</v>
      </c>
      <c r="G346" s="6">
        <v>612000</v>
      </c>
      <c r="H346" s="6">
        <v>918000</v>
      </c>
      <c r="I346" s="5" t="s">
        <v>3</v>
      </c>
    </row>
    <row r="347" spans="1:9" ht="15.75" x14ac:dyDescent="0.25">
      <c r="A347" s="3" t="s">
        <v>28</v>
      </c>
      <c r="B347" s="8" t="s">
        <v>43</v>
      </c>
      <c r="C347" s="5" t="s">
        <v>68</v>
      </c>
      <c r="D347" s="5" t="s">
        <v>84</v>
      </c>
      <c r="E347" s="5">
        <v>12</v>
      </c>
      <c r="F347" s="5">
        <v>21</v>
      </c>
      <c r="G347" s="6">
        <v>16800</v>
      </c>
      <c r="H347" s="6">
        <v>29400</v>
      </c>
      <c r="I347" s="5" t="s">
        <v>3</v>
      </c>
    </row>
    <row r="348" spans="1:9" ht="15.75" x14ac:dyDescent="0.25">
      <c r="A348" s="3" t="s">
        <v>28</v>
      </c>
      <c r="B348" s="8" t="s">
        <v>43</v>
      </c>
      <c r="C348" s="5" t="s">
        <v>68</v>
      </c>
      <c r="D348" s="5" t="s">
        <v>82</v>
      </c>
      <c r="E348" s="5">
        <v>0</v>
      </c>
      <c r="F348" s="5">
        <v>1</v>
      </c>
      <c r="G348" s="6">
        <v>0</v>
      </c>
      <c r="H348" s="6">
        <v>1250</v>
      </c>
      <c r="I348" s="5" t="s">
        <v>5</v>
      </c>
    </row>
    <row r="349" spans="1:9" ht="15.75" x14ac:dyDescent="0.25">
      <c r="A349" s="3" t="s">
        <v>28</v>
      </c>
      <c r="B349" s="8" t="s">
        <v>43</v>
      </c>
      <c r="C349" s="5" t="s">
        <v>68</v>
      </c>
      <c r="D349" s="5" t="s">
        <v>83</v>
      </c>
      <c r="E349" s="5">
        <v>77</v>
      </c>
      <c r="F349" s="5">
        <v>83</v>
      </c>
      <c r="G349" s="6">
        <v>654500</v>
      </c>
      <c r="H349" s="6">
        <v>705500</v>
      </c>
      <c r="I349" s="5" t="s">
        <v>5</v>
      </c>
    </row>
    <row r="350" spans="1:9" ht="15.75" x14ac:dyDescent="0.25">
      <c r="A350" s="3" t="s">
        <v>28</v>
      </c>
      <c r="B350" s="8" t="s">
        <v>43</v>
      </c>
      <c r="C350" s="5" t="s">
        <v>68</v>
      </c>
      <c r="D350" s="5" t="s">
        <v>84</v>
      </c>
      <c r="E350" s="5">
        <v>19</v>
      </c>
      <c r="F350" s="5">
        <v>27</v>
      </c>
      <c r="G350" s="6">
        <v>26600</v>
      </c>
      <c r="H350" s="6">
        <v>37800</v>
      </c>
      <c r="I350" s="5" t="s">
        <v>5</v>
      </c>
    </row>
    <row r="351" spans="1:9" ht="15.75" x14ac:dyDescent="0.25">
      <c r="A351" s="3" t="s">
        <v>28</v>
      </c>
      <c r="B351" s="8" t="s">
        <v>43</v>
      </c>
      <c r="C351" s="5" t="s">
        <v>68</v>
      </c>
      <c r="D351" s="5" t="s">
        <v>82</v>
      </c>
      <c r="E351" s="5">
        <v>58</v>
      </c>
      <c r="F351" s="5">
        <v>99</v>
      </c>
      <c r="G351" s="6">
        <v>72500</v>
      </c>
      <c r="H351" s="6">
        <v>123750</v>
      </c>
      <c r="I351" s="5" t="s">
        <v>4</v>
      </c>
    </row>
    <row r="352" spans="1:9" ht="15.75" x14ac:dyDescent="0.25">
      <c r="A352" s="3" t="s">
        <v>28</v>
      </c>
      <c r="B352" s="8" t="s">
        <v>43</v>
      </c>
      <c r="C352" s="5" t="s">
        <v>68</v>
      </c>
      <c r="D352" s="5" t="s">
        <v>83</v>
      </c>
      <c r="E352" s="5">
        <v>77</v>
      </c>
      <c r="F352" s="5">
        <v>116</v>
      </c>
      <c r="G352" s="6">
        <v>654500</v>
      </c>
      <c r="H352" s="6">
        <v>986000</v>
      </c>
      <c r="I352" s="5" t="s">
        <v>4</v>
      </c>
    </row>
    <row r="353" spans="1:9" ht="15.75" x14ac:dyDescent="0.25">
      <c r="A353" s="3" t="s">
        <v>28</v>
      </c>
      <c r="B353" s="8" t="s">
        <v>43</v>
      </c>
      <c r="C353" s="5" t="s">
        <v>68</v>
      </c>
      <c r="D353" s="5" t="s">
        <v>84</v>
      </c>
      <c r="E353" s="5">
        <v>4</v>
      </c>
      <c r="F353" s="5">
        <v>32</v>
      </c>
      <c r="G353" s="6">
        <v>5600</v>
      </c>
      <c r="H353" s="6">
        <v>44800</v>
      </c>
      <c r="I353" s="5" t="s">
        <v>4</v>
      </c>
    </row>
    <row r="354" spans="1:9" ht="15.75" x14ac:dyDescent="0.25">
      <c r="A354" s="3" t="s">
        <v>28</v>
      </c>
      <c r="B354" s="8" t="s">
        <v>43</v>
      </c>
      <c r="C354" s="5" t="s">
        <v>68</v>
      </c>
      <c r="D354" s="5" t="s">
        <v>83</v>
      </c>
      <c r="E354" s="5">
        <v>8</v>
      </c>
      <c r="F354" s="5">
        <v>65</v>
      </c>
      <c r="G354" s="6">
        <v>68000</v>
      </c>
      <c r="H354" s="6">
        <v>552500</v>
      </c>
      <c r="I354" s="5" t="s">
        <v>1</v>
      </c>
    </row>
    <row r="355" spans="1:9" ht="15.75" x14ac:dyDescent="0.25">
      <c r="A355" s="3" t="s">
        <v>28</v>
      </c>
      <c r="B355" s="8" t="s">
        <v>43</v>
      </c>
      <c r="C355" s="5" t="s">
        <v>68</v>
      </c>
      <c r="D355" s="5" t="s">
        <v>84</v>
      </c>
      <c r="E355" s="5">
        <v>38</v>
      </c>
      <c r="F355" s="5">
        <v>46</v>
      </c>
      <c r="G355" s="6">
        <v>53200</v>
      </c>
      <c r="H355" s="6">
        <v>64400</v>
      </c>
      <c r="I355" s="5" t="s">
        <v>1</v>
      </c>
    </row>
    <row r="356" spans="1:9" ht="15.75" x14ac:dyDescent="0.25">
      <c r="A356" s="3" t="s">
        <v>28</v>
      </c>
      <c r="B356" s="8" t="s">
        <v>43</v>
      </c>
      <c r="C356" s="5" t="s">
        <v>68</v>
      </c>
      <c r="D356" s="5" t="s">
        <v>82</v>
      </c>
      <c r="E356" s="5">
        <v>6</v>
      </c>
      <c r="F356" s="5">
        <v>16</v>
      </c>
      <c r="G356" s="6">
        <v>7500</v>
      </c>
      <c r="H356" s="6">
        <v>20000</v>
      </c>
      <c r="I356" s="5" t="s">
        <v>2</v>
      </c>
    </row>
    <row r="357" spans="1:9" ht="15.75" x14ac:dyDescent="0.25">
      <c r="A357" s="3" t="s">
        <v>28</v>
      </c>
      <c r="B357" s="8" t="s">
        <v>43</v>
      </c>
      <c r="C357" s="5" t="s">
        <v>68</v>
      </c>
      <c r="D357" s="5" t="s">
        <v>83</v>
      </c>
      <c r="E357" s="5">
        <v>9</v>
      </c>
      <c r="F357" s="5">
        <v>24</v>
      </c>
      <c r="G357" s="6">
        <v>76500</v>
      </c>
      <c r="H357" s="6">
        <v>204000</v>
      </c>
      <c r="I357" s="5" t="s">
        <v>2</v>
      </c>
    </row>
    <row r="358" spans="1:9" ht="15.75" x14ac:dyDescent="0.25">
      <c r="A358" s="3" t="s">
        <v>28</v>
      </c>
      <c r="B358" s="8" t="s">
        <v>43</v>
      </c>
      <c r="C358" s="5" t="s">
        <v>68</v>
      </c>
      <c r="D358" s="5" t="s">
        <v>84</v>
      </c>
      <c r="E358" s="5">
        <v>9</v>
      </c>
      <c r="F358" s="5">
        <v>10</v>
      </c>
      <c r="G358" s="6">
        <v>12600</v>
      </c>
      <c r="H358" s="6">
        <v>14000</v>
      </c>
      <c r="I358" s="5" t="s">
        <v>2</v>
      </c>
    </row>
    <row r="359" spans="1:9" ht="15.75" x14ac:dyDescent="0.25">
      <c r="A359" s="3" t="s">
        <v>28</v>
      </c>
      <c r="B359" s="8" t="s">
        <v>43</v>
      </c>
      <c r="C359" s="5" t="s">
        <v>68</v>
      </c>
      <c r="D359" s="5" t="s">
        <v>82</v>
      </c>
      <c r="E359" s="5">
        <v>16</v>
      </c>
      <c r="F359" s="5">
        <v>40</v>
      </c>
      <c r="G359" s="6">
        <v>20000</v>
      </c>
      <c r="H359" s="6">
        <v>50000</v>
      </c>
      <c r="I359" s="5" t="s">
        <v>7</v>
      </c>
    </row>
    <row r="360" spans="1:9" ht="15.75" x14ac:dyDescent="0.25">
      <c r="A360" s="3" t="s">
        <v>28</v>
      </c>
      <c r="B360" s="8" t="s">
        <v>43</v>
      </c>
      <c r="C360" s="5" t="s">
        <v>68</v>
      </c>
      <c r="D360" s="5" t="s">
        <v>83</v>
      </c>
      <c r="E360" s="5">
        <v>18</v>
      </c>
      <c r="F360" s="5">
        <v>22</v>
      </c>
      <c r="G360" s="6">
        <v>153000</v>
      </c>
      <c r="H360" s="6">
        <v>187000</v>
      </c>
      <c r="I360" s="5" t="s">
        <v>7</v>
      </c>
    </row>
    <row r="361" spans="1:9" ht="15.75" x14ac:dyDescent="0.25">
      <c r="A361" s="3" t="s">
        <v>28</v>
      </c>
      <c r="B361" s="8" t="s">
        <v>43</v>
      </c>
      <c r="C361" s="5" t="s">
        <v>68</v>
      </c>
      <c r="D361" s="5" t="s">
        <v>84</v>
      </c>
      <c r="E361" s="5">
        <v>21</v>
      </c>
      <c r="F361" s="5">
        <v>43</v>
      </c>
      <c r="G361" s="6">
        <v>29400</v>
      </c>
      <c r="H361" s="6">
        <v>60200</v>
      </c>
      <c r="I361" s="5" t="s">
        <v>7</v>
      </c>
    </row>
    <row r="362" spans="1:9" ht="15.75" x14ac:dyDescent="0.25">
      <c r="A362" s="3" t="s">
        <v>15</v>
      </c>
      <c r="B362" s="8" t="s">
        <v>44</v>
      </c>
      <c r="C362" s="5" t="s">
        <v>69</v>
      </c>
      <c r="D362" s="5" t="s">
        <v>82</v>
      </c>
      <c r="E362" s="5">
        <v>54</v>
      </c>
      <c r="F362" s="5">
        <v>71</v>
      </c>
      <c r="G362" s="6">
        <v>67500</v>
      </c>
      <c r="H362" s="6">
        <v>88750</v>
      </c>
      <c r="I362" s="5" t="s">
        <v>8</v>
      </c>
    </row>
    <row r="363" spans="1:9" ht="15.75" x14ac:dyDescent="0.25">
      <c r="A363" s="3" t="s">
        <v>15</v>
      </c>
      <c r="B363" s="8" t="s">
        <v>44</v>
      </c>
      <c r="C363" s="5" t="s">
        <v>69</v>
      </c>
      <c r="D363" s="5" t="s">
        <v>83</v>
      </c>
      <c r="E363" s="5">
        <v>32</v>
      </c>
      <c r="F363" s="5">
        <v>68</v>
      </c>
      <c r="G363" s="6">
        <v>272000</v>
      </c>
      <c r="H363" s="6">
        <v>578000</v>
      </c>
      <c r="I363" s="5" t="s">
        <v>8</v>
      </c>
    </row>
    <row r="364" spans="1:9" ht="15.75" x14ac:dyDescent="0.25">
      <c r="A364" s="3" t="s">
        <v>15</v>
      </c>
      <c r="B364" s="8" t="s">
        <v>44</v>
      </c>
      <c r="C364" s="5" t="s">
        <v>69</v>
      </c>
      <c r="D364" s="5" t="s">
        <v>84</v>
      </c>
      <c r="E364" s="5">
        <v>24</v>
      </c>
      <c r="F364" s="5">
        <v>26</v>
      </c>
      <c r="G364" s="6">
        <v>33600</v>
      </c>
      <c r="H364" s="6">
        <v>36400</v>
      </c>
      <c r="I364" s="5" t="s">
        <v>8</v>
      </c>
    </row>
    <row r="365" spans="1:9" ht="15.75" x14ac:dyDescent="0.25">
      <c r="A365" s="3" t="s">
        <v>15</v>
      </c>
      <c r="B365" s="8" t="s">
        <v>44</v>
      </c>
      <c r="C365" s="5" t="s">
        <v>69</v>
      </c>
      <c r="D365" s="5" t="s">
        <v>82</v>
      </c>
      <c r="E365" s="5">
        <v>6</v>
      </c>
      <c r="F365" s="5">
        <v>14</v>
      </c>
      <c r="G365" s="6">
        <v>7500</v>
      </c>
      <c r="H365" s="6">
        <v>17500</v>
      </c>
      <c r="I365" s="5" t="s">
        <v>12</v>
      </c>
    </row>
    <row r="366" spans="1:9" ht="15.75" x14ac:dyDescent="0.25">
      <c r="A366" s="3" t="s">
        <v>15</v>
      </c>
      <c r="B366" s="8" t="s">
        <v>44</v>
      </c>
      <c r="C366" s="5" t="s">
        <v>69</v>
      </c>
      <c r="D366" s="5" t="s">
        <v>83</v>
      </c>
      <c r="E366" s="5">
        <v>5</v>
      </c>
      <c r="F366" s="5">
        <v>13</v>
      </c>
      <c r="G366" s="6">
        <v>42500</v>
      </c>
      <c r="H366" s="6">
        <v>110500</v>
      </c>
      <c r="I366" s="5" t="s">
        <v>12</v>
      </c>
    </row>
    <row r="367" spans="1:9" ht="15.75" x14ac:dyDescent="0.25">
      <c r="A367" s="3" t="s">
        <v>15</v>
      </c>
      <c r="B367" s="8" t="s">
        <v>44</v>
      </c>
      <c r="C367" s="5" t="s">
        <v>69</v>
      </c>
      <c r="D367" s="5" t="s">
        <v>84</v>
      </c>
      <c r="E367" s="5">
        <v>24</v>
      </c>
      <c r="F367" s="5">
        <v>32</v>
      </c>
      <c r="G367" s="6">
        <v>33600</v>
      </c>
      <c r="H367" s="6">
        <v>44800</v>
      </c>
      <c r="I367" s="5" t="s">
        <v>12</v>
      </c>
    </row>
    <row r="368" spans="1:9" ht="15.75" x14ac:dyDescent="0.25">
      <c r="A368" s="3" t="s">
        <v>15</v>
      </c>
      <c r="B368" s="8" t="s">
        <v>44</v>
      </c>
      <c r="C368" s="5" t="s">
        <v>69</v>
      </c>
      <c r="D368" s="5" t="s">
        <v>82</v>
      </c>
      <c r="E368" s="5">
        <v>21</v>
      </c>
      <c r="F368" s="5">
        <v>34</v>
      </c>
      <c r="G368" s="6">
        <v>26250</v>
      </c>
      <c r="H368" s="6">
        <v>42500</v>
      </c>
      <c r="I368" s="5" t="s">
        <v>10</v>
      </c>
    </row>
    <row r="369" spans="1:9" ht="15.75" x14ac:dyDescent="0.25">
      <c r="A369" s="3" t="s">
        <v>15</v>
      </c>
      <c r="B369" s="8" t="s">
        <v>44</v>
      </c>
      <c r="C369" s="5" t="s">
        <v>69</v>
      </c>
      <c r="D369" s="5" t="s">
        <v>83</v>
      </c>
      <c r="E369" s="5">
        <v>0</v>
      </c>
      <c r="F369" s="5">
        <v>1</v>
      </c>
      <c r="G369" s="6">
        <v>0</v>
      </c>
      <c r="H369" s="6">
        <v>8500</v>
      </c>
      <c r="I369" s="5" t="s">
        <v>10</v>
      </c>
    </row>
    <row r="370" spans="1:9" ht="15.75" x14ac:dyDescent="0.25">
      <c r="A370" s="3" t="s">
        <v>15</v>
      </c>
      <c r="B370" s="8" t="s">
        <v>44</v>
      </c>
      <c r="C370" s="5" t="s">
        <v>69</v>
      </c>
      <c r="D370" s="5" t="s">
        <v>84</v>
      </c>
      <c r="E370" s="5">
        <v>41</v>
      </c>
      <c r="F370" s="5">
        <v>56</v>
      </c>
      <c r="G370" s="6">
        <v>57400</v>
      </c>
      <c r="H370" s="6">
        <v>78400</v>
      </c>
      <c r="I370" s="5" t="s">
        <v>10</v>
      </c>
    </row>
    <row r="371" spans="1:9" ht="15.75" x14ac:dyDescent="0.25">
      <c r="A371" s="3" t="s">
        <v>15</v>
      </c>
      <c r="B371" s="8" t="s">
        <v>44</v>
      </c>
      <c r="C371" s="5" t="s">
        <v>69</v>
      </c>
      <c r="D371" s="5" t="s">
        <v>82</v>
      </c>
      <c r="E371" s="5">
        <v>16</v>
      </c>
      <c r="F371" s="5">
        <v>110</v>
      </c>
      <c r="G371" s="6">
        <v>20000</v>
      </c>
      <c r="H371" s="6">
        <v>137500</v>
      </c>
      <c r="I371" s="5" t="s">
        <v>9</v>
      </c>
    </row>
    <row r="372" spans="1:9" ht="15.75" x14ac:dyDescent="0.25">
      <c r="A372" s="3" t="s">
        <v>15</v>
      </c>
      <c r="B372" s="8" t="s">
        <v>44</v>
      </c>
      <c r="C372" s="5" t="s">
        <v>69</v>
      </c>
      <c r="D372" s="5" t="s">
        <v>83</v>
      </c>
      <c r="E372" s="5">
        <v>6</v>
      </c>
      <c r="F372" s="5">
        <v>8</v>
      </c>
      <c r="G372" s="6">
        <v>51000</v>
      </c>
      <c r="H372" s="6">
        <v>68000</v>
      </c>
      <c r="I372" s="5" t="s">
        <v>9</v>
      </c>
    </row>
    <row r="373" spans="1:9" ht="15.75" x14ac:dyDescent="0.25">
      <c r="A373" s="3" t="s">
        <v>15</v>
      </c>
      <c r="B373" s="8" t="s">
        <v>44</v>
      </c>
      <c r="C373" s="5" t="s">
        <v>69</v>
      </c>
      <c r="D373" s="5" t="s">
        <v>84</v>
      </c>
      <c r="E373" s="5">
        <v>25</v>
      </c>
      <c r="F373" s="5">
        <v>35</v>
      </c>
      <c r="G373" s="6">
        <v>35000</v>
      </c>
      <c r="H373" s="6">
        <v>49000</v>
      </c>
      <c r="I373" s="5" t="s">
        <v>9</v>
      </c>
    </row>
    <row r="374" spans="1:9" ht="15.75" x14ac:dyDescent="0.25">
      <c r="A374" s="3" t="s">
        <v>15</v>
      </c>
      <c r="B374" s="8" t="s">
        <v>44</v>
      </c>
      <c r="C374" s="5" t="s">
        <v>69</v>
      </c>
      <c r="D374" s="5" t="s">
        <v>82</v>
      </c>
      <c r="E374" s="5">
        <v>87</v>
      </c>
      <c r="F374" s="5">
        <v>93</v>
      </c>
      <c r="G374" s="6">
        <v>108750</v>
      </c>
      <c r="H374" s="6">
        <v>116250</v>
      </c>
      <c r="I374" s="5" t="s">
        <v>6</v>
      </c>
    </row>
    <row r="375" spans="1:9" ht="15.75" x14ac:dyDescent="0.25">
      <c r="A375" s="3" t="s">
        <v>15</v>
      </c>
      <c r="B375" s="8" t="s">
        <v>44</v>
      </c>
      <c r="C375" s="5" t="s">
        <v>69</v>
      </c>
      <c r="D375" s="5" t="s">
        <v>83</v>
      </c>
      <c r="E375" s="5">
        <v>50</v>
      </c>
      <c r="F375" s="5">
        <v>56</v>
      </c>
      <c r="G375" s="6">
        <v>425000</v>
      </c>
      <c r="H375" s="6">
        <v>476000</v>
      </c>
      <c r="I375" s="5" t="s">
        <v>6</v>
      </c>
    </row>
    <row r="376" spans="1:9" ht="15.75" x14ac:dyDescent="0.25">
      <c r="A376" s="3" t="s">
        <v>15</v>
      </c>
      <c r="B376" s="8" t="s">
        <v>44</v>
      </c>
      <c r="C376" s="5" t="s">
        <v>69</v>
      </c>
      <c r="D376" s="5" t="s">
        <v>84</v>
      </c>
      <c r="E376" s="5">
        <v>24</v>
      </c>
      <c r="F376" s="5">
        <v>30</v>
      </c>
      <c r="G376" s="6">
        <v>33600</v>
      </c>
      <c r="H376" s="6">
        <v>42000</v>
      </c>
      <c r="I376" s="5" t="s">
        <v>6</v>
      </c>
    </row>
    <row r="377" spans="1:9" ht="15.75" x14ac:dyDescent="0.25">
      <c r="A377" s="3" t="s">
        <v>15</v>
      </c>
      <c r="B377" s="8" t="s">
        <v>44</v>
      </c>
      <c r="C377" s="5" t="s">
        <v>69</v>
      </c>
      <c r="D377" s="5" t="s">
        <v>82</v>
      </c>
      <c r="E377" s="5">
        <v>6</v>
      </c>
      <c r="F377" s="5">
        <v>12</v>
      </c>
      <c r="G377" s="6">
        <v>7500</v>
      </c>
      <c r="H377" s="6">
        <v>15000</v>
      </c>
      <c r="I377" s="5" t="s">
        <v>11</v>
      </c>
    </row>
    <row r="378" spans="1:9" ht="15.75" x14ac:dyDescent="0.25">
      <c r="A378" s="3" t="s">
        <v>15</v>
      </c>
      <c r="B378" s="8" t="s">
        <v>44</v>
      </c>
      <c r="C378" s="5" t="s">
        <v>69</v>
      </c>
      <c r="D378" s="5" t="s">
        <v>83</v>
      </c>
      <c r="E378" s="5">
        <v>1</v>
      </c>
      <c r="F378" s="5">
        <v>2</v>
      </c>
      <c r="G378" s="6">
        <v>8500</v>
      </c>
      <c r="H378" s="6">
        <v>17000</v>
      </c>
      <c r="I378" s="5" t="s">
        <v>11</v>
      </c>
    </row>
    <row r="379" spans="1:9" ht="15.75" x14ac:dyDescent="0.25">
      <c r="A379" s="3" t="s">
        <v>15</v>
      </c>
      <c r="B379" s="8" t="s">
        <v>44</v>
      </c>
      <c r="C379" s="5" t="s">
        <v>69</v>
      </c>
      <c r="D379" s="5" t="s">
        <v>84</v>
      </c>
      <c r="E379" s="5">
        <v>52</v>
      </c>
      <c r="F379" s="5">
        <v>126</v>
      </c>
      <c r="G379" s="6">
        <v>72800</v>
      </c>
      <c r="H379" s="6">
        <v>176400</v>
      </c>
      <c r="I379" s="5" t="s">
        <v>11</v>
      </c>
    </row>
    <row r="380" spans="1:9" ht="15.75" x14ac:dyDescent="0.25">
      <c r="A380" s="3" t="s">
        <v>15</v>
      </c>
      <c r="B380" s="8" t="s">
        <v>44</v>
      </c>
      <c r="C380" s="5" t="s">
        <v>69</v>
      </c>
      <c r="D380" s="5" t="s">
        <v>82</v>
      </c>
      <c r="E380" s="5">
        <v>26</v>
      </c>
      <c r="F380" s="5">
        <v>36</v>
      </c>
      <c r="G380" s="6">
        <v>32500</v>
      </c>
      <c r="H380" s="6">
        <v>45000</v>
      </c>
      <c r="I380" s="5" t="s">
        <v>3</v>
      </c>
    </row>
    <row r="381" spans="1:9" ht="15.75" x14ac:dyDescent="0.25">
      <c r="A381" s="3" t="s">
        <v>15</v>
      </c>
      <c r="B381" s="8" t="s">
        <v>44</v>
      </c>
      <c r="C381" s="5" t="s">
        <v>69</v>
      </c>
      <c r="D381" s="5" t="s">
        <v>83</v>
      </c>
      <c r="E381" s="5">
        <v>22</v>
      </c>
      <c r="F381" s="5">
        <v>31</v>
      </c>
      <c r="G381" s="6">
        <v>187000</v>
      </c>
      <c r="H381" s="6">
        <v>263500</v>
      </c>
      <c r="I381" s="5" t="s">
        <v>3</v>
      </c>
    </row>
    <row r="382" spans="1:9" ht="15.75" x14ac:dyDescent="0.25">
      <c r="A382" s="3" t="s">
        <v>15</v>
      </c>
      <c r="B382" s="8" t="s">
        <v>44</v>
      </c>
      <c r="C382" s="5" t="s">
        <v>69</v>
      </c>
      <c r="D382" s="5" t="s">
        <v>84</v>
      </c>
      <c r="E382" s="5">
        <v>22</v>
      </c>
      <c r="F382" s="5">
        <v>109</v>
      </c>
      <c r="G382" s="6">
        <v>30800</v>
      </c>
      <c r="H382" s="6">
        <v>152600</v>
      </c>
      <c r="I382" s="5" t="s">
        <v>3</v>
      </c>
    </row>
    <row r="383" spans="1:9" ht="15.75" x14ac:dyDescent="0.25">
      <c r="A383" s="3" t="s">
        <v>15</v>
      </c>
      <c r="B383" s="8" t="s">
        <v>44</v>
      </c>
      <c r="C383" s="5" t="s">
        <v>69</v>
      </c>
      <c r="D383" s="5" t="s">
        <v>82</v>
      </c>
      <c r="E383" s="5">
        <v>3</v>
      </c>
      <c r="F383" s="5">
        <v>6</v>
      </c>
      <c r="G383" s="6">
        <v>3750</v>
      </c>
      <c r="H383" s="6">
        <v>7500</v>
      </c>
      <c r="I383" s="5" t="s">
        <v>5</v>
      </c>
    </row>
    <row r="384" spans="1:9" ht="15.75" x14ac:dyDescent="0.25">
      <c r="A384" s="3" t="s">
        <v>15</v>
      </c>
      <c r="B384" s="8" t="s">
        <v>44</v>
      </c>
      <c r="C384" s="5" t="s">
        <v>69</v>
      </c>
      <c r="D384" s="5" t="s">
        <v>83</v>
      </c>
      <c r="E384" s="5">
        <v>14</v>
      </c>
      <c r="F384" s="5">
        <v>82</v>
      </c>
      <c r="G384" s="6">
        <v>119000</v>
      </c>
      <c r="H384" s="6">
        <v>697000</v>
      </c>
      <c r="I384" s="5" t="s">
        <v>5</v>
      </c>
    </row>
    <row r="385" spans="1:9" ht="15.75" x14ac:dyDescent="0.25">
      <c r="A385" s="3" t="s">
        <v>15</v>
      </c>
      <c r="B385" s="8" t="s">
        <v>44</v>
      </c>
      <c r="C385" s="5" t="s">
        <v>69</v>
      </c>
      <c r="D385" s="5" t="s">
        <v>84</v>
      </c>
      <c r="E385" s="5">
        <v>49</v>
      </c>
      <c r="F385" s="5">
        <v>135</v>
      </c>
      <c r="G385" s="6">
        <v>68600</v>
      </c>
      <c r="H385" s="6">
        <v>189000</v>
      </c>
      <c r="I385" s="5" t="s">
        <v>5</v>
      </c>
    </row>
    <row r="386" spans="1:9" ht="15.75" x14ac:dyDescent="0.25">
      <c r="A386" s="3" t="s">
        <v>15</v>
      </c>
      <c r="B386" s="8" t="s">
        <v>44</v>
      </c>
      <c r="C386" s="5" t="s">
        <v>69</v>
      </c>
      <c r="D386" s="5" t="s">
        <v>82</v>
      </c>
      <c r="E386" s="5">
        <v>3</v>
      </c>
      <c r="F386" s="5">
        <v>28</v>
      </c>
      <c r="G386" s="6">
        <v>3750</v>
      </c>
      <c r="H386" s="6">
        <v>35000</v>
      </c>
      <c r="I386" s="5" t="s">
        <v>4</v>
      </c>
    </row>
    <row r="387" spans="1:9" ht="15.75" x14ac:dyDescent="0.25">
      <c r="A387" s="3" t="s">
        <v>15</v>
      </c>
      <c r="B387" s="8" t="s">
        <v>44</v>
      </c>
      <c r="C387" s="5" t="s">
        <v>69</v>
      </c>
      <c r="D387" s="5" t="s">
        <v>83</v>
      </c>
      <c r="E387" s="5">
        <v>30</v>
      </c>
      <c r="F387" s="5">
        <v>75</v>
      </c>
      <c r="G387" s="6">
        <v>255000</v>
      </c>
      <c r="H387" s="6">
        <v>637500</v>
      </c>
      <c r="I387" s="5" t="s">
        <v>4</v>
      </c>
    </row>
    <row r="388" spans="1:9" ht="15.75" x14ac:dyDescent="0.25">
      <c r="A388" s="3" t="s">
        <v>15</v>
      </c>
      <c r="B388" s="8" t="s">
        <v>44</v>
      </c>
      <c r="C388" s="5" t="s">
        <v>69</v>
      </c>
      <c r="D388" s="5" t="s">
        <v>84</v>
      </c>
      <c r="E388" s="5">
        <v>63</v>
      </c>
      <c r="F388" s="5">
        <v>118</v>
      </c>
      <c r="G388" s="6">
        <v>88200</v>
      </c>
      <c r="H388" s="6">
        <v>165200</v>
      </c>
      <c r="I388" s="5" t="s">
        <v>4</v>
      </c>
    </row>
    <row r="389" spans="1:9" ht="15.75" x14ac:dyDescent="0.25">
      <c r="A389" s="3" t="s">
        <v>15</v>
      </c>
      <c r="B389" s="8" t="s">
        <v>44</v>
      </c>
      <c r="C389" s="5" t="s">
        <v>69</v>
      </c>
      <c r="D389" s="5" t="s">
        <v>82</v>
      </c>
      <c r="E389" s="5">
        <v>8</v>
      </c>
      <c r="F389" s="5">
        <v>26</v>
      </c>
      <c r="G389" s="6">
        <v>10000</v>
      </c>
      <c r="H389" s="6">
        <v>32500</v>
      </c>
      <c r="I389" s="5" t="s">
        <v>1</v>
      </c>
    </row>
    <row r="390" spans="1:9" ht="15.75" x14ac:dyDescent="0.25">
      <c r="A390" s="3" t="s">
        <v>15</v>
      </c>
      <c r="B390" s="8" t="s">
        <v>44</v>
      </c>
      <c r="C390" s="5" t="s">
        <v>69</v>
      </c>
      <c r="D390" s="5" t="s">
        <v>83</v>
      </c>
      <c r="E390" s="5">
        <v>72</v>
      </c>
      <c r="F390" s="5">
        <v>95</v>
      </c>
      <c r="G390" s="6">
        <v>612000</v>
      </c>
      <c r="H390" s="6">
        <v>807500</v>
      </c>
      <c r="I390" s="5" t="s">
        <v>1</v>
      </c>
    </row>
    <row r="391" spans="1:9" ht="15.75" x14ac:dyDescent="0.25">
      <c r="A391" s="3" t="s">
        <v>15</v>
      </c>
      <c r="B391" s="8" t="s">
        <v>44</v>
      </c>
      <c r="C391" s="5" t="s">
        <v>69</v>
      </c>
      <c r="D391" s="5" t="s">
        <v>84</v>
      </c>
      <c r="E391" s="5">
        <v>43</v>
      </c>
      <c r="F391" s="5">
        <v>73</v>
      </c>
      <c r="G391" s="6">
        <v>60200</v>
      </c>
      <c r="H391" s="6">
        <v>102200</v>
      </c>
      <c r="I391" s="5" t="s">
        <v>1</v>
      </c>
    </row>
    <row r="392" spans="1:9" ht="15.75" x14ac:dyDescent="0.25">
      <c r="A392" s="3" t="s">
        <v>15</v>
      </c>
      <c r="B392" s="8" t="s">
        <v>44</v>
      </c>
      <c r="C392" s="5" t="s">
        <v>69</v>
      </c>
      <c r="D392" s="5" t="s">
        <v>82</v>
      </c>
      <c r="E392" s="5">
        <v>49</v>
      </c>
      <c r="F392" s="5">
        <v>51</v>
      </c>
      <c r="G392" s="6">
        <v>61250</v>
      </c>
      <c r="H392" s="6">
        <v>63750</v>
      </c>
      <c r="I392" s="5" t="s">
        <v>2</v>
      </c>
    </row>
    <row r="393" spans="1:9" ht="15.75" x14ac:dyDescent="0.25">
      <c r="A393" s="3" t="s">
        <v>15</v>
      </c>
      <c r="B393" s="8" t="s">
        <v>44</v>
      </c>
      <c r="C393" s="5" t="s">
        <v>69</v>
      </c>
      <c r="D393" s="5" t="s">
        <v>83</v>
      </c>
      <c r="E393" s="5">
        <v>14</v>
      </c>
      <c r="F393" s="5">
        <v>18</v>
      </c>
      <c r="G393" s="6">
        <v>119000</v>
      </c>
      <c r="H393" s="6">
        <v>153000</v>
      </c>
      <c r="I393" s="5" t="s">
        <v>2</v>
      </c>
    </row>
    <row r="394" spans="1:9" ht="15.75" x14ac:dyDescent="0.25">
      <c r="A394" s="3" t="s">
        <v>15</v>
      </c>
      <c r="B394" s="8" t="s">
        <v>44</v>
      </c>
      <c r="C394" s="5" t="s">
        <v>69</v>
      </c>
      <c r="D394" s="5" t="s">
        <v>84</v>
      </c>
      <c r="E394" s="5">
        <v>0</v>
      </c>
      <c r="F394" s="5">
        <v>1</v>
      </c>
      <c r="G394" s="6">
        <v>0</v>
      </c>
      <c r="H394" s="6">
        <v>1400</v>
      </c>
      <c r="I394" s="5" t="s">
        <v>2</v>
      </c>
    </row>
    <row r="395" spans="1:9" ht="15.75" x14ac:dyDescent="0.25">
      <c r="A395" s="3" t="s">
        <v>15</v>
      </c>
      <c r="B395" s="8" t="s">
        <v>44</v>
      </c>
      <c r="C395" s="5" t="s">
        <v>69</v>
      </c>
      <c r="D395" s="5" t="s">
        <v>82</v>
      </c>
      <c r="E395" s="5">
        <v>2</v>
      </c>
      <c r="F395" s="5">
        <v>4</v>
      </c>
      <c r="G395" s="6">
        <v>2500</v>
      </c>
      <c r="H395" s="6">
        <v>5000</v>
      </c>
      <c r="I395" s="5" t="s">
        <v>7</v>
      </c>
    </row>
    <row r="396" spans="1:9" ht="15.75" x14ac:dyDescent="0.25">
      <c r="A396" s="3" t="s">
        <v>15</v>
      </c>
      <c r="B396" s="8" t="s">
        <v>44</v>
      </c>
      <c r="C396" s="5" t="s">
        <v>69</v>
      </c>
      <c r="D396" s="5" t="s">
        <v>83</v>
      </c>
      <c r="E396" s="5">
        <v>97</v>
      </c>
      <c r="F396" s="5">
        <v>117</v>
      </c>
      <c r="G396" s="6">
        <v>824500</v>
      </c>
      <c r="H396" s="6">
        <v>994500</v>
      </c>
      <c r="I396" s="5" t="s">
        <v>7</v>
      </c>
    </row>
    <row r="397" spans="1:9" ht="15.75" x14ac:dyDescent="0.25">
      <c r="A397" s="3" t="s">
        <v>15</v>
      </c>
      <c r="B397" s="8" t="s">
        <v>44</v>
      </c>
      <c r="C397" s="5" t="s">
        <v>69</v>
      </c>
      <c r="D397" s="5" t="s">
        <v>84</v>
      </c>
      <c r="E397" s="5">
        <v>83</v>
      </c>
      <c r="F397" s="5">
        <v>118</v>
      </c>
      <c r="G397" s="6">
        <v>116200</v>
      </c>
      <c r="H397" s="6">
        <v>165200</v>
      </c>
      <c r="I397" s="5" t="s">
        <v>7</v>
      </c>
    </row>
    <row r="398" spans="1:9" ht="15.75" x14ac:dyDescent="0.25">
      <c r="A398" s="3" t="s">
        <v>16</v>
      </c>
      <c r="B398" s="8" t="s">
        <v>45</v>
      </c>
      <c r="C398" s="5" t="s">
        <v>70</v>
      </c>
      <c r="D398" s="5" t="s">
        <v>82</v>
      </c>
      <c r="E398" s="5">
        <v>25</v>
      </c>
      <c r="F398" s="5">
        <v>53</v>
      </c>
      <c r="G398" s="6">
        <v>31250</v>
      </c>
      <c r="H398" s="6">
        <v>66250</v>
      </c>
      <c r="I398" s="5" t="s">
        <v>8</v>
      </c>
    </row>
    <row r="399" spans="1:9" ht="15.75" x14ac:dyDescent="0.25">
      <c r="A399" s="3" t="s">
        <v>16</v>
      </c>
      <c r="B399" s="8" t="s">
        <v>45</v>
      </c>
      <c r="C399" s="5" t="s">
        <v>70</v>
      </c>
      <c r="D399" s="5" t="s">
        <v>83</v>
      </c>
      <c r="E399" s="5">
        <v>47</v>
      </c>
      <c r="F399" s="5">
        <v>58</v>
      </c>
      <c r="G399" s="6">
        <v>399500</v>
      </c>
      <c r="H399" s="6">
        <v>493000</v>
      </c>
      <c r="I399" s="5" t="s">
        <v>8</v>
      </c>
    </row>
    <row r="400" spans="1:9" ht="15.75" x14ac:dyDescent="0.25">
      <c r="A400" s="3" t="s">
        <v>16</v>
      </c>
      <c r="B400" s="8" t="s">
        <v>45</v>
      </c>
      <c r="C400" s="5" t="s">
        <v>70</v>
      </c>
      <c r="D400" s="5" t="s">
        <v>84</v>
      </c>
      <c r="E400" s="5">
        <v>13</v>
      </c>
      <c r="F400" s="5">
        <v>17</v>
      </c>
      <c r="G400" s="6">
        <v>18200</v>
      </c>
      <c r="H400" s="6">
        <v>23800</v>
      </c>
      <c r="I400" s="5" t="s">
        <v>8</v>
      </c>
    </row>
    <row r="401" spans="1:9" ht="15.75" x14ac:dyDescent="0.25">
      <c r="A401" s="3" t="s">
        <v>16</v>
      </c>
      <c r="B401" s="8" t="s">
        <v>45</v>
      </c>
      <c r="C401" s="5" t="s">
        <v>70</v>
      </c>
      <c r="D401" s="5" t="s">
        <v>82</v>
      </c>
      <c r="E401" s="5">
        <v>71</v>
      </c>
      <c r="F401" s="5">
        <v>97</v>
      </c>
      <c r="G401" s="6">
        <v>88750</v>
      </c>
      <c r="H401" s="6">
        <v>121250</v>
      </c>
      <c r="I401" s="5" t="s">
        <v>12</v>
      </c>
    </row>
    <row r="402" spans="1:9" ht="15.75" x14ac:dyDescent="0.25">
      <c r="A402" s="3" t="s">
        <v>16</v>
      </c>
      <c r="B402" s="8" t="s">
        <v>45</v>
      </c>
      <c r="C402" s="5" t="s">
        <v>70</v>
      </c>
      <c r="D402" s="5" t="s">
        <v>83</v>
      </c>
      <c r="E402" s="5">
        <v>34</v>
      </c>
      <c r="F402" s="5">
        <v>63</v>
      </c>
      <c r="G402" s="6">
        <v>289000</v>
      </c>
      <c r="H402" s="6">
        <v>535500</v>
      </c>
      <c r="I402" s="5" t="s">
        <v>12</v>
      </c>
    </row>
    <row r="403" spans="1:9" ht="15.75" x14ac:dyDescent="0.25">
      <c r="A403" s="3" t="s">
        <v>16</v>
      </c>
      <c r="B403" s="8" t="s">
        <v>45</v>
      </c>
      <c r="C403" s="5" t="s">
        <v>70</v>
      </c>
      <c r="D403" s="5" t="s">
        <v>84</v>
      </c>
      <c r="E403" s="5">
        <v>7</v>
      </c>
      <c r="F403" s="5">
        <v>22</v>
      </c>
      <c r="G403" s="6">
        <v>9800</v>
      </c>
      <c r="H403" s="6">
        <v>30800</v>
      </c>
      <c r="I403" s="5" t="s">
        <v>12</v>
      </c>
    </row>
    <row r="404" spans="1:9" ht="15.75" x14ac:dyDescent="0.25">
      <c r="A404" s="3" t="s">
        <v>16</v>
      </c>
      <c r="B404" s="8" t="s">
        <v>45</v>
      </c>
      <c r="C404" s="5" t="s">
        <v>70</v>
      </c>
      <c r="D404" s="5" t="s">
        <v>82</v>
      </c>
      <c r="E404" s="5">
        <v>3</v>
      </c>
      <c r="F404" s="5">
        <v>21</v>
      </c>
      <c r="G404" s="6">
        <v>3750</v>
      </c>
      <c r="H404" s="6">
        <v>26250</v>
      </c>
      <c r="I404" s="5" t="s">
        <v>10</v>
      </c>
    </row>
    <row r="405" spans="1:9" ht="15.75" x14ac:dyDescent="0.25">
      <c r="A405" s="3" t="s">
        <v>16</v>
      </c>
      <c r="B405" s="8" t="s">
        <v>45</v>
      </c>
      <c r="C405" s="5" t="s">
        <v>70</v>
      </c>
      <c r="D405" s="5" t="s">
        <v>83</v>
      </c>
      <c r="E405" s="5">
        <v>38</v>
      </c>
      <c r="F405" s="5">
        <v>42</v>
      </c>
      <c r="G405" s="6">
        <v>323000</v>
      </c>
      <c r="H405" s="6">
        <v>357000</v>
      </c>
      <c r="I405" s="5" t="s">
        <v>10</v>
      </c>
    </row>
    <row r="406" spans="1:9" ht="15.75" x14ac:dyDescent="0.25">
      <c r="A406" s="3" t="s">
        <v>16</v>
      </c>
      <c r="B406" s="8" t="s">
        <v>45</v>
      </c>
      <c r="C406" s="5" t="s">
        <v>70</v>
      </c>
      <c r="D406" s="5" t="s">
        <v>84</v>
      </c>
      <c r="E406" s="5">
        <v>20</v>
      </c>
      <c r="F406" s="5">
        <v>32</v>
      </c>
      <c r="G406" s="6">
        <v>28000</v>
      </c>
      <c r="H406" s="6">
        <v>44800</v>
      </c>
      <c r="I406" s="5" t="s">
        <v>10</v>
      </c>
    </row>
    <row r="407" spans="1:9" ht="15.75" x14ac:dyDescent="0.25">
      <c r="A407" s="3" t="s">
        <v>16</v>
      </c>
      <c r="B407" s="8" t="s">
        <v>45</v>
      </c>
      <c r="C407" s="5" t="s">
        <v>70</v>
      </c>
      <c r="D407" s="5" t="s">
        <v>82</v>
      </c>
      <c r="E407" s="5">
        <v>27</v>
      </c>
      <c r="F407" s="5">
        <v>36</v>
      </c>
      <c r="G407" s="6">
        <v>33750</v>
      </c>
      <c r="H407" s="6">
        <v>45000</v>
      </c>
      <c r="I407" s="5" t="s">
        <v>9</v>
      </c>
    </row>
    <row r="408" spans="1:9" ht="15.75" x14ac:dyDescent="0.25">
      <c r="A408" s="3" t="s">
        <v>16</v>
      </c>
      <c r="B408" s="8" t="s">
        <v>45</v>
      </c>
      <c r="C408" s="5" t="s">
        <v>70</v>
      </c>
      <c r="D408" s="5" t="s">
        <v>83</v>
      </c>
      <c r="E408" s="5">
        <v>14</v>
      </c>
      <c r="F408" s="5">
        <v>30</v>
      </c>
      <c r="G408" s="6">
        <v>119000</v>
      </c>
      <c r="H408" s="6">
        <v>255000</v>
      </c>
      <c r="I408" s="5" t="s">
        <v>9</v>
      </c>
    </row>
    <row r="409" spans="1:9" ht="15.75" x14ac:dyDescent="0.25">
      <c r="A409" s="3" t="s">
        <v>16</v>
      </c>
      <c r="B409" s="8" t="s">
        <v>45</v>
      </c>
      <c r="C409" s="5" t="s">
        <v>70</v>
      </c>
      <c r="D409" s="5" t="s">
        <v>84</v>
      </c>
      <c r="E409" s="5">
        <v>24</v>
      </c>
      <c r="F409" s="5">
        <v>58</v>
      </c>
      <c r="G409" s="6">
        <v>33600</v>
      </c>
      <c r="H409" s="6">
        <v>81200</v>
      </c>
      <c r="I409" s="5" t="s">
        <v>9</v>
      </c>
    </row>
    <row r="410" spans="1:9" ht="15.75" x14ac:dyDescent="0.25">
      <c r="A410" s="3" t="s">
        <v>16</v>
      </c>
      <c r="B410" s="8" t="s">
        <v>45</v>
      </c>
      <c r="C410" s="5" t="s">
        <v>70</v>
      </c>
      <c r="D410" s="5" t="s">
        <v>82</v>
      </c>
      <c r="E410" s="5">
        <v>64</v>
      </c>
      <c r="F410" s="5">
        <v>65</v>
      </c>
      <c r="G410" s="6">
        <v>80000</v>
      </c>
      <c r="H410" s="6">
        <v>81250</v>
      </c>
      <c r="I410" s="5" t="s">
        <v>6</v>
      </c>
    </row>
    <row r="411" spans="1:9" ht="15.75" x14ac:dyDescent="0.25">
      <c r="A411" s="3" t="s">
        <v>16</v>
      </c>
      <c r="B411" s="8" t="s">
        <v>45</v>
      </c>
      <c r="C411" s="5" t="s">
        <v>70</v>
      </c>
      <c r="D411" s="5" t="s">
        <v>83</v>
      </c>
      <c r="E411" s="5">
        <v>40</v>
      </c>
      <c r="F411" s="5">
        <v>81</v>
      </c>
      <c r="G411" s="6">
        <v>340000</v>
      </c>
      <c r="H411" s="6">
        <v>688500</v>
      </c>
      <c r="I411" s="5" t="s">
        <v>6</v>
      </c>
    </row>
    <row r="412" spans="1:9" ht="15.75" x14ac:dyDescent="0.25">
      <c r="A412" s="3" t="s">
        <v>16</v>
      </c>
      <c r="B412" s="8" t="s">
        <v>45</v>
      </c>
      <c r="C412" s="5" t="s">
        <v>70</v>
      </c>
      <c r="D412" s="5" t="s">
        <v>84</v>
      </c>
      <c r="E412" s="5">
        <v>22</v>
      </c>
      <c r="F412" s="5">
        <v>25</v>
      </c>
      <c r="G412" s="6">
        <v>30800</v>
      </c>
      <c r="H412" s="6">
        <v>35000</v>
      </c>
      <c r="I412" s="5" t="s">
        <v>6</v>
      </c>
    </row>
    <row r="413" spans="1:9" ht="15.75" x14ac:dyDescent="0.25">
      <c r="A413" s="3" t="s">
        <v>16</v>
      </c>
      <c r="B413" s="8" t="s">
        <v>45</v>
      </c>
      <c r="C413" s="5" t="s">
        <v>70</v>
      </c>
      <c r="D413" s="5" t="s">
        <v>82</v>
      </c>
      <c r="E413" s="5">
        <v>16</v>
      </c>
      <c r="F413" s="5">
        <v>73</v>
      </c>
      <c r="G413" s="6">
        <v>20000</v>
      </c>
      <c r="H413" s="6">
        <v>91250</v>
      </c>
      <c r="I413" s="5" t="s">
        <v>11</v>
      </c>
    </row>
    <row r="414" spans="1:9" ht="15.75" x14ac:dyDescent="0.25">
      <c r="A414" s="3" t="s">
        <v>16</v>
      </c>
      <c r="B414" s="8" t="s">
        <v>45</v>
      </c>
      <c r="C414" s="5" t="s">
        <v>70</v>
      </c>
      <c r="D414" s="5" t="s">
        <v>83</v>
      </c>
      <c r="E414" s="5">
        <v>57</v>
      </c>
      <c r="F414" s="5">
        <v>77</v>
      </c>
      <c r="G414" s="6">
        <v>484500</v>
      </c>
      <c r="H414" s="6">
        <v>654500</v>
      </c>
      <c r="I414" s="5" t="s">
        <v>11</v>
      </c>
    </row>
    <row r="415" spans="1:9" ht="15.75" x14ac:dyDescent="0.25">
      <c r="A415" s="3" t="s">
        <v>16</v>
      </c>
      <c r="B415" s="8" t="s">
        <v>45</v>
      </c>
      <c r="C415" s="5" t="s">
        <v>70</v>
      </c>
      <c r="D415" s="5" t="s">
        <v>84</v>
      </c>
      <c r="E415" s="5">
        <v>0</v>
      </c>
      <c r="F415" s="5">
        <v>2</v>
      </c>
      <c r="G415" s="6">
        <v>0</v>
      </c>
      <c r="H415" s="6">
        <v>2800</v>
      </c>
      <c r="I415" s="5" t="s">
        <v>11</v>
      </c>
    </row>
    <row r="416" spans="1:9" ht="15.75" x14ac:dyDescent="0.25">
      <c r="A416" s="3" t="s">
        <v>16</v>
      </c>
      <c r="B416" s="8" t="s">
        <v>45</v>
      </c>
      <c r="C416" s="5" t="s">
        <v>70</v>
      </c>
      <c r="D416" s="5" t="s">
        <v>82</v>
      </c>
      <c r="E416" s="5">
        <v>3</v>
      </c>
      <c r="F416" s="5">
        <v>5</v>
      </c>
      <c r="G416" s="6">
        <v>3750</v>
      </c>
      <c r="H416" s="6">
        <v>6250</v>
      </c>
      <c r="I416" s="5" t="s">
        <v>3</v>
      </c>
    </row>
    <row r="417" spans="1:9" ht="15.75" x14ac:dyDescent="0.25">
      <c r="A417" s="3" t="s">
        <v>16</v>
      </c>
      <c r="B417" s="8" t="s">
        <v>45</v>
      </c>
      <c r="C417" s="5" t="s">
        <v>70</v>
      </c>
      <c r="D417" s="5" t="s">
        <v>83</v>
      </c>
      <c r="E417" s="5">
        <v>10</v>
      </c>
      <c r="F417" s="5">
        <v>17</v>
      </c>
      <c r="G417" s="6">
        <v>85000</v>
      </c>
      <c r="H417" s="6">
        <v>144500</v>
      </c>
      <c r="I417" s="5" t="s">
        <v>3</v>
      </c>
    </row>
    <row r="418" spans="1:9" ht="15.75" x14ac:dyDescent="0.25">
      <c r="A418" s="3" t="s">
        <v>16</v>
      </c>
      <c r="B418" s="8" t="s">
        <v>45</v>
      </c>
      <c r="C418" s="5" t="s">
        <v>70</v>
      </c>
      <c r="D418" s="5" t="s">
        <v>84</v>
      </c>
      <c r="E418" s="5">
        <v>3</v>
      </c>
      <c r="F418" s="5">
        <v>5</v>
      </c>
      <c r="G418" s="6">
        <v>4200</v>
      </c>
      <c r="H418" s="6">
        <v>7000</v>
      </c>
      <c r="I418" s="5" t="s">
        <v>3</v>
      </c>
    </row>
    <row r="419" spans="1:9" ht="15.75" x14ac:dyDescent="0.25">
      <c r="A419" s="3" t="s">
        <v>16</v>
      </c>
      <c r="B419" s="8" t="s">
        <v>45</v>
      </c>
      <c r="C419" s="5" t="s">
        <v>70</v>
      </c>
      <c r="D419" s="5" t="s">
        <v>82</v>
      </c>
      <c r="E419" s="5">
        <v>18</v>
      </c>
      <c r="F419" s="5">
        <v>86</v>
      </c>
      <c r="G419" s="6">
        <v>22500</v>
      </c>
      <c r="H419" s="6">
        <v>107500</v>
      </c>
      <c r="I419" s="5" t="s">
        <v>5</v>
      </c>
    </row>
    <row r="420" spans="1:9" ht="15.75" x14ac:dyDescent="0.25">
      <c r="A420" s="3" t="s">
        <v>16</v>
      </c>
      <c r="B420" s="8" t="s">
        <v>45</v>
      </c>
      <c r="C420" s="5" t="s">
        <v>70</v>
      </c>
      <c r="D420" s="5" t="s">
        <v>83</v>
      </c>
      <c r="E420" s="5">
        <v>15</v>
      </c>
      <c r="F420" s="5">
        <v>25</v>
      </c>
      <c r="G420" s="6">
        <v>127500</v>
      </c>
      <c r="H420" s="6">
        <v>212500</v>
      </c>
      <c r="I420" s="5" t="s">
        <v>5</v>
      </c>
    </row>
    <row r="421" spans="1:9" ht="15.75" x14ac:dyDescent="0.25">
      <c r="A421" s="3" t="s">
        <v>16</v>
      </c>
      <c r="B421" s="8" t="s">
        <v>45</v>
      </c>
      <c r="C421" s="5" t="s">
        <v>70</v>
      </c>
      <c r="D421" s="5" t="s">
        <v>84</v>
      </c>
      <c r="E421" s="5">
        <v>19</v>
      </c>
      <c r="F421" s="5">
        <v>24</v>
      </c>
      <c r="G421" s="6">
        <v>26600</v>
      </c>
      <c r="H421" s="6">
        <v>33600</v>
      </c>
      <c r="I421" s="5" t="s">
        <v>5</v>
      </c>
    </row>
    <row r="422" spans="1:9" ht="15.75" x14ac:dyDescent="0.25">
      <c r="A422" s="3" t="s">
        <v>16</v>
      </c>
      <c r="B422" s="8" t="s">
        <v>45</v>
      </c>
      <c r="C422" s="5" t="s">
        <v>70</v>
      </c>
      <c r="D422" s="5" t="s">
        <v>82</v>
      </c>
      <c r="E422" s="5">
        <v>113</v>
      </c>
      <c r="F422" s="5">
        <v>129</v>
      </c>
      <c r="G422" s="6">
        <v>141250</v>
      </c>
      <c r="H422" s="6">
        <v>161250</v>
      </c>
      <c r="I422" s="5" t="s">
        <v>4</v>
      </c>
    </row>
    <row r="423" spans="1:9" ht="15.75" x14ac:dyDescent="0.25">
      <c r="A423" s="3" t="s">
        <v>16</v>
      </c>
      <c r="B423" s="8" t="s">
        <v>45</v>
      </c>
      <c r="C423" s="5" t="s">
        <v>70</v>
      </c>
      <c r="D423" s="5" t="s">
        <v>83</v>
      </c>
      <c r="E423" s="5">
        <v>79</v>
      </c>
      <c r="F423" s="5">
        <v>97</v>
      </c>
      <c r="G423" s="6">
        <v>671500</v>
      </c>
      <c r="H423" s="6">
        <v>824500</v>
      </c>
      <c r="I423" s="5" t="s">
        <v>4</v>
      </c>
    </row>
    <row r="424" spans="1:9" ht="15.75" x14ac:dyDescent="0.25">
      <c r="A424" s="3" t="s">
        <v>16</v>
      </c>
      <c r="B424" s="8" t="s">
        <v>45</v>
      </c>
      <c r="C424" s="5" t="s">
        <v>70</v>
      </c>
      <c r="D424" s="5" t="s">
        <v>84</v>
      </c>
      <c r="E424" s="5">
        <v>72</v>
      </c>
      <c r="F424" s="5">
        <v>98</v>
      </c>
      <c r="G424" s="6">
        <v>100800</v>
      </c>
      <c r="H424" s="6">
        <v>137200</v>
      </c>
      <c r="I424" s="5" t="s">
        <v>4</v>
      </c>
    </row>
    <row r="425" spans="1:9" ht="15.75" x14ac:dyDescent="0.25">
      <c r="A425" s="3" t="s">
        <v>16</v>
      </c>
      <c r="B425" s="8" t="s">
        <v>45</v>
      </c>
      <c r="C425" s="5" t="s">
        <v>70</v>
      </c>
      <c r="D425" s="5" t="s">
        <v>82</v>
      </c>
      <c r="E425" s="5">
        <v>1</v>
      </c>
      <c r="F425" s="5">
        <v>7</v>
      </c>
      <c r="G425" s="6">
        <v>1250</v>
      </c>
      <c r="H425" s="6">
        <v>8750</v>
      </c>
      <c r="I425" s="5" t="s">
        <v>1</v>
      </c>
    </row>
    <row r="426" spans="1:9" ht="15.75" x14ac:dyDescent="0.25">
      <c r="A426" s="3" t="s">
        <v>16</v>
      </c>
      <c r="B426" s="8" t="s">
        <v>45</v>
      </c>
      <c r="C426" s="5" t="s">
        <v>70</v>
      </c>
      <c r="D426" s="5" t="s">
        <v>83</v>
      </c>
      <c r="E426" s="5">
        <v>3</v>
      </c>
      <c r="F426" s="5">
        <v>18</v>
      </c>
      <c r="G426" s="6">
        <v>25500</v>
      </c>
      <c r="H426" s="6">
        <v>153000</v>
      </c>
      <c r="I426" s="5" t="s">
        <v>1</v>
      </c>
    </row>
    <row r="427" spans="1:9" ht="15.75" x14ac:dyDescent="0.25">
      <c r="A427" s="3" t="s">
        <v>16</v>
      </c>
      <c r="B427" s="8" t="s">
        <v>45</v>
      </c>
      <c r="C427" s="5" t="s">
        <v>70</v>
      </c>
      <c r="D427" s="5" t="s">
        <v>84</v>
      </c>
      <c r="E427" s="5">
        <v>2</v>
      </c>
      <c r="F427" s="5">
        <v>11</v>
      </c>
      <c r="G427" s="6">
        <v>2800</v>
      </c>
      <c r="H427" s="6">
        <v>15400</v>
      </c>
      <c r="I427" s="5" t="s">
        <v>1</v>
      </c>
    </row>
    <row r="428" spans="1:9" ht="15.75" x14ac:dyDescent="0.25">
      <c r="A428" s="3" t="s">
        <v>16</v>
      </c>
      <c r="B428" s="8" t="s">
        <v>45</v>
      </c>
      <c r="C428" s="5" t="s">
        <v>70</v>
      </c>
      <c r="D428" s="5" t="s">
        <v>82</v>
      </c>
      <c r="E428" s="5">
        <v>8</v>
      </c>
      <c r="F428" s="5">
        <v>58</v>
      </c>
      <c r="G428" s="6">
        <v>10000</v>
      </c>
      <c r="H428" s="6">
        <v>72500</v>
      </c>
      <c r="I428" s="5" t="s">
        <v>2</v>
      </c>
    </row>
    <row r="429" spans="1:9" ht="15.75" x14ac:dyDescent="0.25">
      <c r="A429" s="3" t="s">
        <v>16</v>
      </c>
      <c r="B429" s="8" t="s">
        <v>45</v>
      </c>
      <c r="C429" s="5" t="s">
        <v>70</v>
      </c>
      <c r="D429" s="5" t="s">
        <v>83</v>
      </c>
      <c r="E429" s="5">
        <v>34</v>
      </c>
      <c r="F429" s="5">
        <v>42</v>
      </c>
      <c r="G429" s="6">
        <v>289000</v>
      </c>
      <c r="H429" s="6">
        <v>357000</v>
      </c>
      <c r="I429" s="5" t="s">
        <v>2</v>
      </c>
    </row>
    <row r="430" spans="1:9" ht="15.75" x14ac:dyDescent="0.25">
      <c r="A430" s="3" t="s">
        <v>16</v>
      </c>
      <c r="B430" s="8" t="s">
        <v>45</v>
      </c>
      <c r="C430" s="5" t="s">
        <v>70</v>
      </c>
      <c r="D430" s="5" t="s">
        <v>84</v>
      </c>
      <c r="E430" s="5">
        <v>53</v>
      </c>
      <c r="F430" s="5">
        <v>70</v>
      </c>
      <c r="G430" s="6">
        <v>74200</v>
      </c>
      <c r="H430" s="6">
        <v>98000</v>
      </c>
      <c r="I430" s="5" t="s">
        <v>2</v>
      </c>
    </row>
    <row r="431" spans="1:9" ht="15.75" x14ac:dyDescent="0.25">
      <c r="A431" s="3" t="s">
        <v>16</v>
      </c>
      <c r="B431" s="8" t="s">
        <v>45</v>
      </c>
      <c r="C431" s="5" t="s">
        <v>70</v>
      </c>
      <c r="D431" s="5" t="s">
        <v>82</v>
      </c>
      <c r="E431" s="5">
        <v>55</v>
      </c>
      <c r="F431" s="5">
        <v>56</v>
      </c>
      <c r="G431" s="6">
        <v>68750</v>
      </c>
      <c r="H431" s="6">
        <v>70000</v>
      </c>
      <c r="I431" s="5" t="s">
        <v>7</v>
      </c>
    </row>
    <row r="432" spans="1:9" ht="15.75" x14ac:dyDescent="0.25">
      <c r="A432" s="3" t="s">
        <v>16</v>
      </c>
      <c r="B432" s="8" t="s">
        <v>45</v>
      </c>
      <c r="C432" s="5" t="s">
        <v>70</v>
      </c>
      <c r="D432" s="5" t="s">
        <v>83</v>
      </c>
      <c r="E432" s="5">
        <v>25</v>
      </c>
      <c r="F432" s="5">
        <v>49</v>
      </c>
      <c r="G432" s="6">
        <v>212500</v>
      </c>
      <c r="H432" s="6">
        <v>416500</v>
      </c>
      <c r="I432" s="5" t="s">
        <v>7</v>
      </c>
    </row>
    <row r="433" spans="1:9" ht="15.75" x14ac:dyDescent="0.25">
      <c r="A433" s="3" t="s">
        <v>16</v>
      </c>
      <c r="B433" s="8" t="s">
        <v>45</v>
      </c>
      <c r="C433" s="5" t="s">
        <v>70</v>
      </c>
      <c r="D433" s="5" t="s">
        <v>84</v>
      </c>
      <c r="E433" s="5">
        <v>24</v>
      </c>
      <c r="F433" s="5">
        <v>32</v>
      </c>
      <c r="G433" s="6">
        <v>33600</v>
      </c>
      <c r="H433" s="6">
        <v>44800</v>
      </c>
      <c r="I433" s="5" t="s">
        <v>7</v>
      </c>
    </row>
    <row r="434" spans="1:9" ht="15.75" x14ac:dyDescent="0.25">
      <c r="A434" s="3" t="s">
        <v>17</v>
      </c>
      <c r="B434" s="8" t="s">
        <v>46</v>
      </c>
      <c r="C434" s="5" t="s">
        <v>71</v>
      </c>
      <c r="D434" s="5" t="s">
        <v>82</v>
      </c>
      <c r="E434" s="5">
        <v>4</v>
      </c>
      <c r="F434" s="5">
        <v>7</v>
      </c>
      <c r="G434" s="6">
        <v>5000</v>
      </c>
      <c r="H434" s="6">
        <v>8750</v>
      </c>
      <c r="I434" s="5" t="s">
        <v>8</v>
      </c>
    </row>
    <row r="435" spans="1:9" ht="15.75" x14ac:dyDescent="0.25">
      <c r="A435" s="3" t="s">
        <v>17</v>
      </c>
      <c r="B435" s="8" t="s">
        <v>46</v>
      </c>
      <c r="C435" s="5" t="s">
        <v>71</v>
      </c>
      <c r="D435" s="5" t="s">
        <v>83</v>
      </c>
      <c r="E435" s="5">
        <v>10</v>
      </c>
      <c r="F435" s="5">
        <v>16</v>
      </c>
      <c r="G435" s="6">
        <v>85000</v>
      </c>
      <c r="H435" s="6">
        <v>136000</v>
      </c>
      <c r="I435" s="5" t="s">
        <v>8</v>
      </c>
    </row>
    <row r="436" spans="1:9" ht="15.75" x14ac:dyDescent="0.25">
      <c r="A436" s="3" t="s">
        <v>17</v>
      </c>
      <c r="B436" s="8" t="s">
        <v>46</v>
      </c>
      <c r="C436" s="5" t="s">
        <v>71</v>
      </c>
      <c r="D436" s="5" t="s">
        <v>84</v>
      </c>
      <c r="E436" s="5">
        <v>69</v>
      </c>
      <c r="F436" s="5">
        <v>75</v>
      </c>
      <c r="G436" s="6">
        <v>96600</v>
      </c>
      <c r="H436" s="6">
        <v>105000</v>
      </c>
      <c r="I436" s="5" t="s">
        <v>8</v>
      </c>
    </row>
    <row r="437" spans="1:9" ht="15.75" x14ac:dyDescent="0.25">
      <c r="A437" s="3" t="s">
        <v>17</v>
      </c>
      <c r="B437" s="8" t="s">
        <v>46</v>
      </c>
      <c r="C437" s="5" t="s">
        <v>71</v>
      </c>
      <c r="D437" s="5" t="s">
        <v>82</v>
      </c>
      <c r="E437" s="5">
        <v>16</v>
      </c>
      <c r="F437" s="5">
        <v>36</v>
      </c>
      <c r="G437" s="6">
        <v>20000</v>
      </c>
      <c r="H437" s="6">
        <v>45000</v>
      </c>
      <c r="I437" s="5" t="s">
        <v>12</v>
      </c>
    </row>
    <row r="438" spans="1:9" ht="15.75" x14ac:dyDescent="0.25">
      <c r="A438" s="3" t="s">
        <v>17</v>
      </c>
      <c r="B438" s="8" t="s">
        <v>46</v>
      </c>
      <c r="C438" s="5" t="s">
        <v>71</v>
      </c>
      <c r="D438" s="5" t="s">
        <v>83</v>
      </c>
      <c r="E438" s="5">
        <v>3</v>
      </c>
      <c r="F438" s="5">
        <v>6</v>
      </c>
      <c r="G438" s="6">
        <v>25500</v>
      </c>
      <c r="H438" s="6">
        <v>51000</v>
      </c>
      <c r="I438" s="5" t="s">
        <v>12</v>
      </c>
    </row>
    <row r="439" spans="1:9" ht="15.75" x14ac:dyDescent="0.25">
      <c r="A439" s="3" t="s">
        <v>17</v>
      </c>
      <c r="B439" s="8" t="s">
        <v>46</v>
      </c>
      <c r="C439" s="5" t="s">
        <v>71</v>
      </c>
      <c r="D439" s="5" t="s">
        <v>84</v>
      </c>
      <c r="E439" s="5">
        <v>10</v>
      </c>
      <c r="F439" s="5">
        <v>40</v>
      </c>
      <c r="G439" s="6">
        <v>14000</v>
      </c>
      <c r="H439" s="6">
        <v>56000</v>
      </c>
      <c r="I439" s="5" t="s">
        <v>12</v>
      </c>
    </row>
    <row r="440" spans="1:9" ht="15.75" x14ac:dyDescent="0.25">
      <c r="A440" s="3" t="s">
        <v>17</v>
      </c>
      <c r="B440" s="8" t="s">
        <v>46</v>
      </c>
      <c r="C440" s="5" t="s">
        <v>71</v>
      </c>
      <c r="D440" s="5" t="s">
        <v>82</v>
      </c>
      <c r="E440" s="5">
        <v>23</v>
      </c>
      <c r="F440" s="5">
        <v>38</v>
      </c>
      <c r="G440" s="6">
        <v>28750</v>
      </c>
      <c r="H440" s="6">
        <v>47500</v>
      </c>
      <c r="I440" s="5" t="s">
        <v>10</v>
      </c>
    </row>
    <row r="441" spans="1:9" ht="15.75" x14ac:dyDescent="0.25">
      <c r="A441" s="3" t="s">
        <v>17</v>
      </c>
      <c r="B441" s="8" t="s">
        <v>46</v>
      </c>
      <c r="C441" s="5" t="s">
        <v>71</v>
      </c>
      <c r="D441" s="5" t="s">
        <v>83</v>
      </c>
      <c r="E441" s="5">
        <v>22</v>
      </c>
      <c r="F441" s="5">
        <v>50</v>
      </c>
      <c r="G441" s="6">
        <v>187000</v>
      </c>
      <c r="H441" s="6">
        <v>425000</v>
      </c>
      <c r="I441" s="5" t="s">
        <v>10</v>
      </c>
    </row>
    <row r="442" spans="1:9" ht="15.75" x14ac:dyDescent="0.25">
      <c r="A442" s="3" t="s">
        <v>17</v>
      </c>
      <c r="B442" s="8" t="s">
        <v>46</v>
      </c>
      <c r="C442" s="5" t="s">
        <v>71</v>
      </c>
      <c r="D442" s="5" t="s">
        <v>84</v>
      </c>
      <c r="E442" s="5">
        <v>70</v>
      </c>
      <c r="F442" s="5">
        <v>84</v>
      </c>
      <c r="G442" s="6">
        <v>98000</v>
      </c>
      <c r="H442" s="6">
        <v>117600</v>
      </c>
      <c r="I442" s="5" t="s">
        <v>10</v>
      </c>
    </row>
    <row r="443" spans="1:9" ht="15.75" x14ac:dyDescent="0.25">
      <c r="A443" s="3" t="s">
        <v>17</v>
      </c>
      <c r="B443" s="8" t="s">
        <v>46</v>
      </c>
      <c r="C443" s="5" t="s">
        <v>71</v>
      </c>
      <c r="D443" s="5" t="s">
        <v>82</v>
      </c>
      <c r="E443" s="5">
        <v>9</v>
      </c>
      <c r="F443" s="5">
        <v>21</v>
      </c>
      <c r="G443" s="6">
        <v>11250</v>
      </c>
      <c r="H443" s="6">
        <v>26250</v>
      </c>
      <c r="I443" s="5" t="s">
        <v>9</v>
      </c>
    </row>
    <row r="444" spans="1:9" ht="15.75" x14ac:dyDescent="0.25">
      <c r="A444" s="3" t="s">
        <v>17</v>
      </c>
      <c r="B444" s="8" t="s">
        <v>46</v>
      </c>
      <c r="C444" s="5" t="s">
        <v>71</v>
      </c>
      <c r="D444" s="5" t="s">
        <v>83</v>
      </c>
      <c r="E444" s="5">
        <v>3</v>
      </c>
      <c r="F444" s="5">
        <v>14</v>
      </c>
      <c r="G444" s="6">
        <v>25500</v>
      </c>
      <c r="H444" s="6">
        <v>119000</v>
      </c>
      <c r="I444" s="5" t="s">
        <v>9</v>
      </c>
    </row>
    <row r="445" spans="1:9" ht="15.75" x14ac:dyDescent="0.25">
      <c r="A445" s="3" t="s">
        <v>17</v>
      </c>
      <c r="B445" s="8" t="s">
        <v>46</v>
      </c>
      <c r="C445" s="5" t="s">
        <v>71</v>
      </c>
      <c r="D445" s="5" t="s">
        <v>84</v>
      </c>
      <c r="E445" s="5">
        <v>26</v>
      </c>
      <c r="F445" s="5">
        <v>38</v>
      </c>
      <c r="G445" s="6">
        <v>36400</v>
      </c>
      <c r="H445" s="6">
        <v>53200</v>
      </c>
      <c r="I445" s="5" t="s">
        <v>9</v>
      </c>
    </row>
    <row r="446" spans="1:9" ht="15.75" x14ac:dyDescent="0.25">
      <c r="A446" s="3" t="s">
        <v>17</v>
      </c>
      <c r="B446" s="8" t="s">
        <v>46</v>
      </c>
      <c r="C446" s="5" t="s">
        <v>71</v>
      </c>
      <c r="D446" s="5" t="s">
        <v>82</v>
      </c>
      <c r="E446" s="5">
        <v>59</v>
      </c>
      <c r="F446" s="5">
        <v>66</v>
      </c>
      <c r="G446" s="6">
        <v>73750</v>
      </c>
      <c r="H446" s="6">
        <v>82500</v>
      </c>
      <c r="I446" s="5" t="s">
        <v>6</v>
      </c>
    </row>
    <row r="447" spans="1:9" ht="15.75" x14ac:dyDescent="0.25">
      <c r="A447" s="3" t="s">
        <v>17</v>
      </c>
      <c r="B447" s="8" t="s">
        <v>46</v>
      </c>
      <c r="C447" s="5" t="s">
        <v>71</v>
      </c>
      <c r="D447" s="5" t="s">
        <v>83</v>
      </c>
      <c r="E447" s="5">
        <v>19</v>
      </c>
      <c r="F447" s="5">
        <v>19</v>
      </c>
      <c r="G447" s="6">
        <v>161500</v>
      </c>
      <c r="H447" s="6">
        <v>161500</v>
      </c>
      <c r="I447" s="5" t="s">
        <v>6</v>
      </c>
    </row>
    <row r="448" spans="1:9" ht="15.75" x14ac:dyDescent="0.25">
      <c r="A448" s="3" t="s">
        <v>17</v>
      </c>
      <c r="B448" s="8" t="s">
        <v>46</v>
      </c>
      <c r="C448" s="5" t="s">
        <v>71</v>
      </c>
      <c r="D448" s="5" t="s">
        <v>84</v>
      </c>
      <c r="E448" s="5">
        <v>14</v>
      </c>
      <c r="F448" s="5">
        <v>28</v>
      </c>
      <c r="G448" s="6">
        <v>19600</v>
      </c>
      <c r="H448" s="6">
        <v>39200</v>
      </c>
      <c r="I448" s="5" t="s">
        <v>6</v>
      </c>
    </row>
    <row r="449" spans="1:9" ht="15.75" x14ac:dyDescent="0.25">
      <c r="A449" s="3" t="s">
        <v>17</v>
      </c>
      <c r="B449" s="8" t="s">
        <v>46</v>
      </c>
      <c r="C449" s="5" t="s">
        <v>71</v>
      </c>
      <c r="D449" s="5" t="s">
        <v>82</v>
      </c>
      <c r="E449" s="5">
        <v>27</v>
      </c>
      <c r="F449" s="5">
        <v>60</v>
      </c>
      <c r="G449" s="6">
        <v>33750</v>
      </c>
      <c r="H449" s="6">
        <v>75000</v>
      </c>
      <c r="I449" s="5" t="s">
        <v>11</v>
      </c>
    </row>
    <row r="450" spans="1:9" ht="15.75" x14ac:dyDescent="0.25">
      <c r="A450" s="3" t="s">
        <v>17</v>
      </c>
      <c r="B450" s="8" t="s">
        <v>46</v>
      </c>
      <c r="C450" s="5" t="s">
        <v>71</v>
      </c>
      <c r="D450" s="5" t="s">
        <v>83</v>
      </c>
      <c r="E450" s="5">
        <v>76</v>
      </c>
      <c r="F450" s="5">
        <v>103</v>
      </c>
      <c r="G450" s="6">
        <v>646000</v>
      </c>
      <c r="H450" s="6">
        <v>875500</v>
      </c>
      <c r="I450" s="5" t="s">
        <v>11</v>
      </c>
    </row>
    <row r="451" spans="1:9" ht="15.75" x14ac:dyDescent="0.25">
      <c r="A451" s="3" t="s">
        <v>17</v>
      </c>
      <c r="B451" s="8" t="s">
        <v>46</v>
      </c>
      <c r="C451" s="5" t="s">
        <v>71</v>
      </c>
      <c r="D451" s="5" t="s">
        <v>84</v>
      </c>
      <c r="E451" s="5">
        <v>7</v>
      </c>
      <c r="F451" s="5">
        <v>24</v>
      </c>
      <c r="G451" s="6">
        <v>9800</v>
      </c>
      <c r="H451" s="6">
        <v>33600</v>
      </c>
      <c r="I451" s="5" t="s">
        <v>11</v>
      </c>
    </row>
    <row r="452" spans="1:9" ht="15.75" x14ac:dyDescent="0.25">
      <c r="A452" s="3" t="s">
        <v>17</v>
      </c>
      <c r="B452" s="8" t="s">
        <v>46</v>
      </c>
      <c r="C452" s="5" t="s">
        <v>71</v>
      </c>
      <c r="D452" s="5" t="s">
        <v>82</v>
      </c>
      <c r="E452" s="5">
        <v>71</v>
      </c>
      <c r="F452" s="5">
        <v>72</v>
      </c>
      <c r="G452" s="6">
        <v>88750</v>
      </c>
      <c r="H452" s="6">
        <v>90000</v>
      </c>
      <c r="I452" s="5" t="s">
        <v>3</v>
      </c>
    </row>
    <row r="453" spans="1:9" ht="15.75" x14ac:dyDescent="0.25">
      <c r="A453" s="3" t="s">
        <v>17</v>
      </c>
      <c r="B453" s="8" t="s">
        <v>46</v>
      </c>
      <c r="C453" s="5" t="s">
        <v>71</v>
      </c>
      <c r="D453" s="5" t="s">
        <v>83</v>
      </c>
      <c r="E453" s="5">
        <v>3</v>
      </c>
      <c r="F453" s="5">
        <v>27</v>
      </c>
      <c r="G453" s="6">
        <v>25500</v>
      </c>
      <c r="H453" s="6">
        <v>229500</v>
      </c>
      <c r="I453" s="5" t="s">
        <v>3</v>
      </c>
    </row>
    <row r="454" spans="1:9" ht="15.75" x14ac:dyDescent="0.25">
      <c r="A454" s="3" t="s">
        <v>17</v>
      </c>
      <c r="B454" s="8" t="s">
        <v>46</v>
      </c>
      <c r="C454" s="5" t="s">
        <v>71</v>
      </c>
      <c r="D454" s="5" t="s">
        <v>84</v>
      </c>
      <c r="E454" s="5">
        <v>6</v>
      </c>
      <c r="F454" s="5">
        <v>22</v>
      </c>
      <c r="G454" s="6">
        <v>8400</v>
      </c>
      <c r="H454" s="6">
        <v>30800</v>
      </c>
      <c r="I454" s="5" t="s">
        <v>3</v>
      </c>
    </row>
    <row r="455" spans="1:9" ht="15.75" x14ac:dyDescent="0.25">
      <c r="A455" s="3" t="s">
        <v>17</v>
      </c>
      <c r="B455" s="8" t="s">
        <v>46</v>
      </c>
      <c r="C455" s="5" t="s">
        <v>71</v>
      </c>
      <c r="D455" s="5" t="s">
        <v>82</v>
      </c>
      <c r="E455" s="5">
        <v>12</v>
      </c>
      <c r="F455" s="5">
        <v>51</v>
      </c>
      <c r="G455" s="6">
        <v>15000</v>
      </c>
      <c r="H455" s="6">
        <v>63750</v>
      </c>
      <c r="I455" s="5" t="s">
        <v>5</v>
      </c>
    </row>
    <row r="456" spans="1:9" ht="15.75" x14ac:dyDescent="0.25">
      <c r="A456" s="3" t="s">
        <v>17</v>
      </c>
      <c r="B456" s="8" t="s">
        <v>46</v>
      </c>
      <c r="C456" s="5" t="s">
        <v>71</v>
      </c>
      <c r="D456" s="5" t="s">
        <v>83</v>
      </c>
      <c r="E456" s="5">
        <v>2</v>
      </c>
      <c r="F456" s="5">
        <v>3</v>
      </c>
      <c r="G456" s="6">
        <v>17000</v>
      </c>
      <c r="H456" s="6">
        <v>25500</v>
      </c>
      <c r="I456" s="5" t="s">
        <v>5</v>
      </c>
    </row>
    <row r="457" spans="1:9" ht="15.75" x14ac:dyDescent="0.25">
      <c r="A457" s="3" t="s">
        <v>17</v>
      </c>
      <c r="B457" s="8" t="s">
        <v>46</v>
      </c>
      <c r="C457" s="5" t="s">
        <v>71</v>
      </c>
      <c r="D457" s="5" t="s">
        <v>84</v>
      </c>
      <c r="E457" s="5">
        <v>5</v>
      </c>
      <c r="F457" s="5">
        <v>39</v>
      </c>
      <c r="G457" s="6">
        <v>7000</v>
      </c>
      <c r="H457" s="6">
        <v>54600</v>
      </c>
      <c r="I457" s="5" t="s">
        <v>5</v>
      </c>
    </row>
    <row r="458" spans="1:9" ht="15.75" x14ac:dyDescent="0.25">
      <c r="A458" s="3" t="s">
        <v>17</v>
      </c>
      <c r="B458" s="8" t="s">
        <v>46</v>
      </c>
      <c r="C458" s="5" t="s">
        <v>71</v>
      </c>
      <c r="D458" s="5" t="s">
        <v>82</v>
      </c>
      <c r="E458" s="5">
        <v>14</v>
      </c>
      <c r="F458" s="5">
        <v>16</v>
      </c>
      <c r="G458" s="6">
        <v>17500</v>
      </c>
      <c r="H458" s="6">
        <v>20000</v>
      </c>
      <c r="I458" s="5" t="s">
        <v>4</v>
      </c>
    </row>
    <row r="459" spans="1:9" ht="15.75" x14ac:dyDescent="0.25">
      <c r="A459" s="3" t="s">
        <v>17</v>
      </c>
      <c r="B459" s="8" t="s">
        <v>46</v>
      </c>
      <c r="C459" s="5" t="s">
        <v>71</v>
      </c>
      <c r="D459" s="5" t="s">
        <v>83</v>
      </c>
      <c r="E459" s="5">
        <v>0</v>
      </c>
      <c r="F459" s="5">
        <v>1</v>
      </c>
      <c r="G459" s="6">
        <v>0</v>
      </c>
      <c r="H459" s="6">
        <v>8500</v>
      </c>
      <c r="I459" s="5" t="s">
        <v>4</v>
      </c>
    </row>
    <row r="460" spans="1:9" ht="15.75" x14ac:dyDescent="0.25">
      <c r="A460" s="3" t="s">
        <v>17</v>
      </c>
      <c r="B460" s="8" t="s">
        <v>46</v>
      </c>
      <c r="C460" s="5" t="s">
        <v>71</v>
      </c>
      <c r="D460" s="5" t="s">
        <v>84</v>
      </c>
      <c r="E460" s="5">
        <v>11</v>
      </c>
      <c r="F460" s="5">
        <v>31</v>
      </c>
      <c r="G460" s="6">
        <v>15400</v>
      </c>
      <c r="H460" s="6">
        <v>43400</v>
      </c>
      <c r="I460" s="5" t="s">
        <v>4</v>
      </c>
    </row>
    <row r="461" spans="1:9" ht="15.75" x14ac:dyDescent="0.25">
      <c r="A461" s="3" t="s">
        <v>17</v>
      </c>
      <c r="B461" s="8" t="s">
        <v>46</v>
      </c>
      <c r="C461" s="5" t="s">
        <v>71</v>
      </c>
      <c r="D461" s="5" t="s">
        <v>82</v>
      </c>
      <c r="E461" s="5">
        <v>64</v>
      </c>
      <c r="F461" s="5">
        <v>92</v>
      </c>
      <c r="G461" s="6">
        <v>80000</v>
      </c>
      <c r="H461" s="6">
        <v>115000</v>
      </c>
      <c r="I461" s="5" t="s">
        <v>1</v>
      </c>
    </row>
    <row r="462" spans="1:9" ht="15.75" x14ac:dyDescent="0.25">
      <c r="A462" s="3" t="s">
        <v>17</v>
      </c>
      <c r="B462" s="8" t="s">
        <v>46</v>
      </c>
      <c r="C462" s="5" t="s">
        <v>71</v>
      </c>
      <c r="D462" s="5" t="s">
        <v>83</v>
      </c>
      <c r="E462" s="5">
        <v>18</v>
      </c>
      <c r="F462" s="5">
        <v>19</v>
      </c>
      <c r="G462" s="6">
        <v>153000</v>
      </c>
      <c r="H462" s="6">
        <v>161500</v>
      </c>
      <c r="I462" s="5" t="s">
        <v>1</v>
      </c>
    </row>
    <row r="463" spans="1:9" ht="15.75" x14ac:dyDescent="0.25">
      <c r="A463" s="3" t="s">
        <v>17</v>
      </c>
      <c r="B463" s="8" t="s">
        <v>46</v>
      </c>
      <c r="C463" s="5" t="s">
        <v>71</v>
      </c>
      <c r="D463" s="5" t="s">
        <v>84</v>
      </c>
      <c r="E463" s="5">
        <v>20</v>
      </c>
      <c r="F463" s="5">
        <v>39</v>
      </c>
      <c r="G463" s="6">
        <v>28000</v>
      </c>
      <c r="H463" s="6">
        <v>54600</v>
      </c>
      <c r="I463" s="5" t="s">
        <v>1</v>
      </c>
    </row>
    <row r="464" spans="1:9" ht="15.75" x14ac:dyDescent="0.25">
      <c r="A464" s="3" t="s">
        <v>17</v>
      </c>
      <c r="B464" s="8" t="s">
        <v>46</v>
      </c>
      <c r="C464" s="5" t="s">
        <v>71</v>
      </c>
      <c r="D464" s="5" t="s">
        <v>82</v>
      </c>
      <c r="E464" s="5">
        <v>21</v>
      </c>
      <c r="F464" s="5">
        <v>42</v>
      </c>
      <c r="G464" s="6">
        <v>26250</v>
      </c>
      <c r="H464" s="6">
        <v>52500</v>
      </c>
      <c r="I464" s="5" t="s">
        <v>2</v>
      </c>
    </row>
    <row r="465" spans="1:9" ht="15.75" x14ac:dyDescent="0.25">
      <c r="A465" s="3" t="s">
        <v>17</v>
      </c>
      <c r="B465" s="8" t="s">
        <v>46</v>
      </c>
      <c r="C465" s="5" t="s">
        <v>71</v>
      </c>
      <c r="D465" s="5" t="s">
        <v>83</v>
      </c>
      <c r="E465" s="5">
        <v>21</v>
      </c>
      <c r="F465" s="5">
        <v>26</v>
      </c>
      <c r="G465" s="6">
        <v>178500</v>
      </c>
      <c r="H465" s="6">
        <v>221000</v>
      </c>
      <c r="I465" s="5" t="s">
        <v>2</v>
      </c>
    </row>
    <row r="466" spans="1:9" ht="15.75" x14ac:dyDescent="0.25">
      <c r="A466" s="3" t="s">
        <v>17</v>
      </c>
      <c r="B466" s="8" t="s">
        <v>46</v>
      </c>
      <c r="C466" s="5" t="s">
        <v>71</v>
      </c>
      <c r="D466" s="5" t="s">
        <v>84</v>
      </c>
      <c r="E466" s="5">
        <v>30</v>
      </c>
      <c r="F466" s="5">
        <v>75</v>
      </c>
      <c r="G466" s="6">
        <v>42000</v>
      </c>
      <c r="H466" s="6">
        <v>105000</v>
      </c>
      <c r="I466" s="5" t="s">
        <v>2</v>
      </c>
    </row>
    <row r="467" spans="1:9" ht="15.75" x14ac:dyDescent="0.25">
      <c r="A467" s="3" t="s">
        <v>17</v>
      </c>
      <c r="B467" s="8" t="s">
        <v>46</v>
      </c>
      <c r="C467" s="5" t="s">
        <v>71</v>
      </c>
      <c r="D467" s="5" t="s">
        <v>82</v>
      </c>
      <c r="E467" s="5">
        <v>30</v>
      </c>
      <c r="F467" s="5">
        <v>31</v>
      </c>
      <c r="G467" s="6">
        <v>37500</v>
      </c>
      <c r="H467" s="6">
        <v>38750</v>
      </c>
      <c r="I467" s="5" t="s">
        <v>7</v>
      </c>
    </row>
    <row r="468" spans="1:9" ht="15.75" x14ac:dyDescent="0.25">
      <c r="A468" s="3" t="s">
        <v>17</v>
      </c>
      <c r="B468" s="8" t="s">
        <v>46</v>
      </c>
      <c r="C468" s="5" t="s">
        <v>71</v>
      </c>
      <c r="D468" s="5" t="s">
        <v>83</v>
      </c>
      <c r="E468" s="5">
        <v>19</v>
      </c>
      <c r="F468" s="5">
        <v>123</v>
      </c>
      <c r="G468" s="6">
        <v>161500</v>
      </c>
      <c r="H468" s="6">
        <v>1045500</v>
      </c>
      <c r="I468" s="5" t="s">
        <v>7</v>
      </c>
    </row>
    <row r="469" spans="1:9" ht="15.75" x14ac:dyDescent="0.25">
      <c r="A469" s="3" t="s">
        <v>17</v>
      </c>
      <c r="B469" s="8" t="s">
        <v>46</v>
      </c>
      <c r="C469" s="5" t="s">
        <v>71</v>
      </c>
      <c r="D469" s="5" t="s">
        <v>84</v>
      </c>
      <c r="E469" s="5">
        <v>33</v>
      </c>
      <c r="F469" s="5">
        <v>43</v>
      </c>
      <c r="G469" s="6">
        <v>46200</v>
      </c>
      <c r="H469" s="6">
        <v>60200</v>
      </c>
      <c r="I469" s="5" t="s">
        <v>7</v>
      </c>
    </row>
    <row r="470" spans="1:9" ht="15.75" x14ac:dyDescent="0.25">
      <c r="A470" s="3" t="s">
        <v>18</v>
      </c>
      <c r="B470" s="8" t="s">
        <v>47</v>
      </c>
      <c r="C470" s="5" t="s">
        <v>72</v>
      </c>
      <c r="D470" s="5" t="s">
        <v>82</v>
      </c>
      <c r="E470" s="5">
        <v>23</v>
      </c>
      <c r="F470" s="5">
        <v>44</v>
      </c>
      <c r="G470" s="6">
        <v>28750</v>
      </c>
      <c r="H470" s="6">
        <v>55000</v>
      </c>
      <c r="I470" s="5" t="s">
        <v>8</v>
      </c>
    </row>
    <row r="471" spans="1:9" ht="15.75" x14ac:dyDescent="0.25">
      <c r="A471" s="3" t="s">
        <v>18</v>
      </c>
      <c r="B471" s="8" t="s">
        <v>47</v>
      </c>
      <c r="C471" s="5" t="s">
        <v>72</v>
      </c>
      <c r="D471" s="5" t="s">
        <v>83</v>
      </c>
      <c r="E471" s="5">
        <v>17</v>
      </c>
      <c r="F471" s="5">
        <v>68</v>
      </c>
      <c r="G471" s="6">
        <v>144500</v>
      </c>
      <c r="H471" s="6">
        <v>578000</v>
      </c>
      <c r="I471" s="5" t="s">
        <v>8</v>
      </c>
    </row>
    <row r="472" spans="1:9" ht="15.75" x14ac:dyDescent="0.25">
      <c r="A472" s="3" t="s">
        <v>18</v>
      </c>
      <c r="B472" s="8" t="s">
        <v>47</v>
      </c>
      <c r="C472" s="5" t="s">
        <v>72</v>
      </c>
      <c r="D472" s="5" t="s">
        <v>84</v>
      </c>
      <c r="E472" s="5">
        <v>59</v>
      </c>
      <c r="F472" s="5">
        <v>80</v>
      </c>
      <c r="G472" s="6">
        <v>82600</v>
      </c>
      <c r="H472" s="6">
        <v>112000</v>
      </c>
      <c r="I472" s="5" t="s">
        <v>8</v>
      </c>
    </row>
    <row r="473" spans="1:9" ht="15.75" x14ac:dyDescent="0.25">
      <c r="A473" s="3" t="s">
        <v>18</v>
      </c>
      <c r="B473" s="8" t="s">
        <v>48</v>
      </c>
      <c r="C473" s="5" t="s">
        <v>73</v>
      </c>
      <c r="D473" s="5" t="s">
        <v>82</v>
      </c>
      <c r="E473" s="5">
        <v>31</v>
      </c>
      <c r="F473" s="5">
        <v>50</v>
      </c>
      <c r="G473" s="6">
        <v>38750</v>
      </c>
      <c r="H473" s="6">
        <v>62500</v>
      </c>
      <c r="I473" s="5" t="s">
        <v>8</v>
      </c>
    </row>
    <row r="474" spans="1:9" ht="15.75" x14ac:dyDescent="0.25">
      <c r="A474" s="3" t="s">
        <v>18</v>
      </c>
      <c r="B474" s="8" t="s">
        <v>48</v>
      </c>
      <c r="C474" s="5" t="s">
        <v>73</v>
      </c>
      <c r="D474" s="5" t="s">
        <v>83</v>
      </c>
      <c r="E474" s="5">
        <v>0</v>
      </c>
      <c r="F474" s="5">
        <v>4</v>
      </c>
      <c r="G474" s="6">
        <v>0</v>
      </c>
      <c r="H474" s="6">
        <v>34000</v>
      </c>
      <c r="I474" s="5" t="s">
        <v>8</v>
      </c>
    </row>
    <row r="475" spans="1:9" ht="15.75" x14ac:dyDescent="0.25">
      <c r="A475" s="3" t="s">
        <v>18</v>
      </c>
      <c r="B475" s="8" t="s">
        <v>48</v>
      </c>
      <c r="C475" s="5" t="s">
        <v>73</v>
      </c>
      <c r="D475" s="5" t="s">
        <v>84</v>
      </c>
      <c r="E475" s="5">
        <v>33</v>
      </c>
      <c r="F475" s="5">
        <v>47</v>
      </c>
      <c r="G475" s="6">
        <v>46200</v>
      </c>
      <c r="H475" s="6">
        <v>65800</v>
      </c>
      <c r="I475" s="5" t="s">
        <v>8</v>
      </c>
    </row>
    <row r="476" spans="1:9" ht="15.75" x14ac:dyDescent="0.25">
      <c r="A476" s="3" t="s">
        <v>18</v>
      </c>
      <c r="B476" s="8" t="s">
        <v>47</v>
      </c>
      <c r="C476" s="5" t="s">
        <v>72</v>
      </c>
      <c r="D476" s="5" t="s">
        <v>82</v>
      </c>
      <c r="E476" s="5">
        <v>104</v>
      </c>
      <c r="F476" s="5">
        <v>109</v>
      </c>
      <c r="G476" s="6">
        <v>130000</v>
      </c>
      <c r="H476" s="6">
        <v>136250</v>
      </c>
      <c r="I476" s="5" t="s">
        <v>12</v>
      </c>
    </row>
    <row r="477" spans="1:9" ht="15.75" x14ac:dyDescent="0.25">
      <c r="A477" s="3" t="s">
        <v>18</v>
      </c>
      <c r="B477" s="8" t="s">
        <v>47</v>
      </c>
      <c r="C477" s="5" t="s">
        <v>72</v>
      </c>
      <c r="D477" s="5" t="s">
        <v>83</v>
      </c>
      <c r="E477" s="5">
        <v>4</v>
      </c>
      <c r="F477" s="5">
        <v>16</v>
      </c>
      <c r="G477" s="6">
        <v>34000</v>
      </c>
      <c r="H477" s="6">
        <v>136000</v>
      </c>
      <c r="I477" s="5" t="s">
        <v>12</v>
      </c>
    </row>
    <row r="478" spans="1:9" ht="15.75" x14ac:dyDescent="0.25">
      <c r="A478" s="3" t="s">
        <v>18</v>
      </c>
      <c r="B478" s="8" t="s">
        <v>47</v>
      </c>
      <c r="C478" s="5" t="s">
        <v>72</v>
      </c>
      <c r="D478" s="5" t="s">
        <v>84</v>
      </c>
      <c r="E478" s="5">
        <v>2</v>
      </c>
      <c r="F478" s="5">
        <v>13</v>
      </c>
      <c r="G478" s="6">
        <v>2800</v>
      </c>
      <c r="H478" s="6">
        <v>18200</v>
      </c>
      <c r="I478" s="5" t="s">
        <v>12</v>
      </c>
    </row>
    <row r="479" spans="1:9" ht="15.75" x14ac:dyDescent="0.25">
      <c r="A479" s="3" t="s">
        <v>18</v>
      </c>
      <c r="B479" s="8" t="s">
        <v>48</v>
      </c>
      <c r="C479" s="5" t="s">
        <v>73</v>
      </c>
      <c r="D479" s="5" t="s">
        <v>82</v>
      </c>
      <c r="E479" s="5">
        <v>2</v>
      </c>
      <c r="F479" s="5">
        <v>18</v>
      </c>
      <c r="G479" s="6">
        <v>2500</v>
      </c>
      <c r="H479" s="6">
        <v>22500</v>
      </c>
      <c r="I479" s="5" t="s">
        <v>12</v>
      </c>
    </row>
    <row r="480" spans="1:9" ht="15.75" x14ac:dyDescent="0.25">
      <c r="A480" s="3" t="s">
        <v>18</v>
      </c>
      <c r="B480" s="8" t="s">
        <v>48</v>
      </c>
      <c r="C480" s="5" t="s">
        <v>73</v>
      </c>
      <c r="D480" s="5" t="s">
        <v>83</v>
      </c>
      <c r="E480" s="5">
        <v>1</v>
      </c>
      <c r="F480" s="5">
        <v>3</v>
      </c>
      <c r="G480" s="6">
        <v>8500</v>
      </c>
      <c r="H480" s="6">
        <v>25500</v>
      </c>
      <c r="I480" s="5" t="s">
        <v>12</v>
      </c>
    </row>
    <row r="481" spans="1:9" ht="15.75" x14ac:dyDescent="0.25">
      <c r="A481" s="3" t="s">
        <v>18</v>
      </c>
      <c r="B481" s="8" t="s">
        <v>48</v>
      </c>
      <c r="C481" s="5" t="s">
        <v>73</v>
      </c>
      <c r="D481" s="5" t="s">
        <v>84</v>
      </c>
      <c r="E481" s="5">
        <v>2</v>
      </c>
      <c r="F481" s="5">
        <v>3</v>
      </c>
      <c r="G481" s="6">
        <v>2800</v>
      </c>
      <c r="H481" s="6">
        <v>4200</v>
      </c>
      <c r="I481" s="5" t="s">
        <v>12</v>
      </c>
    </row>
    <row r="482" spans="1:9" ht="15.75" x14ac:dyDescent="0.25">
      <c r="A482" s="3" t="s">
        <v>18</v>
      </c>
      <c r="B482" s="8" t="s">
        <v>47</v>
      </c>
      <c r="C482" s="5" t="s">
        <v>72</v>
      </c>
      <c r="D482" s="5" t="s">
        <v>82</v>
      </c>
      <c r="E482" s="5">
        <v>3</v>
      </c>
      <c r="F482" s="5">
        <v>21</v>
      </c>
      <c r="G482" s="6">
        <v>3750</v>
      </c>
      <c r="H482" s="6">
        <v>26250</v>
      </c>
      <c r="I482" s="5" t="s">
        <v>10</v>
      </c>
    </row>
    <row r="483" spans="1:9" ht="15.75" x14ac:dyDescent="0.25">
      <c r="A483" s="3" t="s">
        <v>18</v>
      </c>
      <c r="B483" s="8" t="s">
        <v>47</v>
      </c>
      <c r="C483" s="5" t="s">
        <v>72</v>
      </c>
      <c r="D483" s="5" t="s">
        <v>83</v>
      </c>
      <c r="E483" s="5">
        <v>1</v>
      </c>
      <c r="F483" s="5">
        <v>3</v>
      </c>
      <c r="G483" s="6">
        <v>8500</v>
      </c>
      <c r="H483" s="6">
        <v>25500</v>
      </c>
      <c r="I483" s="5" t="s">
        <v>10</v>
      </c>
    </row>
    <row r="484" spans="1:9" ht="15.75" x14ac:dyDescent="0.25">
      <c r="A484" s="3" t="s">
        <v>18</v>
      </c>
      <c r="B484" s="8" t="s">
        <v>47</v>
      </c>
      <c r="C484" s="5" t="s">
        <v>72</v>
      </c>
      <c r="D484" s="5" t="s">
        <v>84</v>
      </c>
      <c r="E484" s="5">
        <v>23</v>
      </c>
      <c r="F484" s="5">
        <v>25</v>
      </c>
      <c r="G484" s="6">
        <v>32200</v>
      </c>
      <c r="H484" s="6">
        <v>35000</v>
      </c>
      <c r="I484" s="5" t="s">
        <v>10</v>
      </c>
    </row>
    <row r="485" spans="1:9" ht="15.75" x14ac:dyDescent="0.25">
      <c r="A485" s="3" t="s">
        <v>18</v>
      </c>
      <c r="B485" s="8" t="s">
        <v>48</v>
      </c>
      <c r="C485" s="5" t="s">
        <v>73</v>
      </c>
      <c r="D485" s="5" t="s">
        <v>82</v>
      </c>
      <c r="E485" s="5">
        <v>2</v>
      </c>
      <c r="F485" s="5">
        <v>5</v>
      </c>
      <c r="G485" s="6">
        <v>2500</v>
      </c>
      <c r="H485" s="6">
        <v>6250</v>
      </c>
      <c r="I485" s="5" t="s">
        <v>10</v>
      </c>
    </row>
    <row r="486" spans="1:9" ht="15.75" x14ac:dyDescent="0.25">
      <c r="A486" s="3" t="s">
        <v>18</v>
      </c>
      <c r="B486" s="8" t="s">
        <v>48</v>
      </c>
      <c r="C486" s="5" t="s">
        <v>73</v>
      </c>
      <c r="D486" s="5" t="s">
        <v>83</v>
      </c>
      <c r="E486" s="5">
        <v>7</v>
      </c>
      <c r="F486" s="5">
        <v>54</v>
      </c>
      <c r="G486" s="6">
        <v>59500</v>
      </c>
      <c r="H486" s="6">
        <v>459000</v>
      </c>
      <c r="I486" s="5" t="s">
        <v>10</v>
      </c>
    </row>
    <row r="487" spans="1:9" ht="15.75" x14ac:dyDescent="0.25">
      <c r="A487" s="3" t="s">
        <v>18</v>
      </c>
      <c r="B487" s="8" t="s">
        <v>48</v>
      </c>
      <c r="C487" s="5" t="s">
        <v>73</v>
      </c>
      <c r="D487" s="5" t="s">
        <v>84</v>
      </c>
      <c r="E487" s="5">
        <v>1</v>
      </c>
      <c r="F487" s="5">
        <v>2</v>
      </c>
      <c r="G487" s="6">
        <v>1400</v>
      </c>
      <c r="H487" s="6">
        <v>2800</v>
      </c>
      <c r="I487" s="5" t="s">
        <v>10</v>
      </c>
    </row>
    <row r="488" spans="1:9" ht="15.75" x14ac:dyDescent="0.25">
      <c r="A488" s="3" t="s">
        <v>18</v>
      </c>
      <c r="B488" s="8" t="s">
        <v>47</v>
      </c>
      <c r="C488" s="5" t="s">
        <v>72</v>
      </c>
      <c r="D488" s="5" t="s">
        <v>82</v>
      </c>
      <c r="E488" s="5">
        <v>5</v>
      </c>
      <c r="F488" s="5">
        <v>19</v>
      </c>
      <c r="G488" s="6">
        <v>6250</v>
      </c>
      <c r="H488" s="6">
        <v>23750</v>
      </c>
      <c r="I488" s="5" t="s">
        <v>9</v>
      </c>
    </row>
    <row r="489" spans="1:9" ht="15.75" x14ac:dyDescent="0.25">
      <c r="A489" s="3" t="s">
        <v>18</v>
      </c>
      <c r="B489" s="8" t="s">
        <v>47</v>
      </c>
      <c r="C489" s="5" t="s">
        <v>72</v>
      </c>
      <c r="D489" s="5" t="s">
        <v>83</v>
      </c>
      <c r="E489" s="5">
        <v>7</v>
      </c>
      <c r="F489" s="5">
        <v>14</v>
      </c>
      <c r="G489" s="6">
        <v>59500</v>
      </c>
      <c r="H489" s="6">
        <v>119000</v>
      </c>
      <c r="I489" s="5" t="s">
        <v>9</v>
      </c>
    </row>
    <row r="490" spans="1:9" ht="15.75" x14ac:dyDescent="0.25">
      <c r="A490" s="3" t="s">
        <v>18</v>
      </c>
      <c r="B490" s="8" t="s">
        <v>47</v>
      </c>
      <c r="C490" s="5" t="s">
        <v>72</v>
      </c>
      <c r="D490" s="5" t="s">
        <v>84</v>
      </c>
      <c r="E490" s="5">
        <v>29</v>
      </c>
      <c r="F490" s="5">
        <v>56</v>
      </c>
      <c r="G490" s="6">
        <v>40600</v>
      </c>
      <c r="H490" s="6">
        <v>78400</v>
      </c>
      <c r="I490" s="5" t="s">
        <v>9</v>
      </c>
    </row>
    <row r="491" spans="1:9" ht="15.75" x14ac:dyDescent="0.25">
      <c r="A491" s="3" t="s">
        <v>18</v>
      </c>
      <c r="B491" s="8" t="s">
        <v>48</v>
      </c>
      <c r="C491" s="5" t="s">
        <v>73</v>
      </c>
      <c r="D491" s="5" t="s">
        <v>82</v>
      </c>
      <c r="E491" s="5">
        <v>15</v>
      </c>
      <c r="F491" s="5">
        <v>23</v>
      </c>
      <c r="G491" s="6">
        <v>18750</v>
      </c>
      <c r="H491" s="6">
        <v>28750</v>
      </c>
      <c r="I491" s="5" t="s">
        <v>9</v>
      </c>
    </row>
    <row r="492" spans="1:9" ht="15.75" x14ac:dyDescent="0.25">
      <c r="A492" s="3" t="s">
        <v>18</v>
      </c>
      <c r="B492" s="8" t="s">
        <v>48</v>
      </c>
      <c r="C492" s="5" t="s">
        <v>73</v>
      </c>
      <c r="D492" s="5" t="s">
        <v>83</v>
      </c>
      <c r="E492" s="5">
        <v>11</v>
      </c>
      <c r="F492" s="5">
        <v>48</v>
      </c>
      <c r="G492" s="6">
        <v>93500</v>
      </c>
      <c r="H492" s="6">
        <v>408000</v>
      </c>
      <c r="I492" s="5" t="s">
        <v>9</v>
      </c>
    </row>
    <row r="493" spans="1:9" ht="15.75" x14ac:dyDescent="0.25">
      <c r="A493" s="3" t="s">
        <v>18</v>
      </c>
      <c r="B493" s="8" t="s">
        <v>48</v>
      </c>
      <c r="C493" s="5" t="s">
        <v>73</v>
      </c>
      <c r="D493" s="5" t="s">
        <v>84</v>
      </c>
      <c r="E493" s="5">
        <v>6</v>
      </c>
      <c r="F493" s="5">
        <v>14</v>
      </c>
      <c r="G493" s="6">
        <v>8400</v>
      </c>
      <c r="H493" s="6">
        <v>19600</v>
      </c>
      <c r="I493" s="5" t="s">
        <v>9</v>
      </c>
    </row>
    <row r="494" spans="1:9" ht="15.75" x14ac:dyDescent="0.25">
      <c r="A494" s="3" t="s">
        <v>18</v>
      </c>
      <c r="B494" s="8" t="s">
        <v>47</v>
      </c>
      <c r="C494" s="5" t="s">
        <v>72</v>
      </c>
      <c r="D494" s="5" t="s">
        <v>82</v>
      </c>
      <c r="E494" s="5">
        <v>0</v>
      </c>
      <c r="F494" s="5">
        <v>7</v>
      </c>
      <c r="G494" s="6">
        <v>0</v>
      </c>
      <c r="H494" s="6">
        <v>8750</v>
      </c>
      <c r="I494" s="5" t="s">
        <v>6</v>
      </c>
    </row>
    <row r="495" spans="1:9" ht="15.75" x14ac:dyDescent="0.25">
      <c r="A495" s="3" t="s">
        <v>18</v>
      </c>
      <c r="B495" s="8" t="s">
        <v>47</v>
      </c>
      <c r="C495" s="5" t="s">
        <v>72</v>
      </c>
      <c r="D495" s="5" t="s">
        <v>83</v>
      </c>
      <c r="E495" s="5">
        <v>10</v>
      </c>
      <c r="F495" s="5">
        <v>96</v>
      </c>
      <c r="G495" s="6">
        <v>85000</v>
      </c>
      <c r="H495" s="6">
        <v>816000</v>
      </c>
      <c r="I495" s="5" t="s">
        <v>6</v>
      </c>
    </row>
    <row r="496" spans="1:9" ht="15.75" x14ac:dyDescent="0.25">
      <c r="A496" s="3" t="s">
        <v>18</v>
      </c>
      <c r="B496" s="8" t="s">
        <v>47</v>
      </c>
      <c r="C496" s="5" t="s">
        <v>72</v>
      </c>
      <c r="D496" s="5" t="s">
        <v>84</v>
      </c>
      <c r="E496" s="5">
        <v>11</v>
      </c>
      <c r="F496" s="5">
        <v>69</v>
      </c>
      <c r="G496" s="6">
        <v>15400</v>
      </c>
      <c r="H496" s="6">
        <v>96600</v>
      </c>
      <c r="I496" s="5" t="s">
        <v>6</v>
      </c>
    </row>
    <row r="497" spans="1:9" ht="15.75" x14ac:dyDescent="0.25">
      <c r="A497" s="3" t="s">
        <v>18</v>
      </c>
      <c r="B497" s="8" t="s">
        <v>48</v>
      </c>
      <c r="C497" s="5" t="s">
        <v>73</v>
      </c>
      <c r="D497" s="5" t="s">
        <v>82</v>
      </c>
      <c r="E497" s="5">
        <v>15</v>
      </c>
      <c r="F497" s="5">
        <v>80</v>
      </c>
      <c r="G497" s="6">
        <v>18750</v>
      </c>
      <c r="H497" s="6">
        <v>100000</v>
      </c>
      <c r="I497" s="5" t="s">
        <v>6</v>
      </c>
    </row>
    <row r="498" spans="1:9" ht="15.75" x14ac:dyDescent="0.25">
      <c r="A498" s="3" t="s">
        <v>18</v>
      </c>
      <c r="B498" s="8" t="s">
        <v>48</v>
      </c>
      <c r="C498" s="5" t="s">
        <v>73</v>
      </c>
      <c r="D498" s="5" t="s">
        <v>83</v>
      </c>
      <c r="E498" s="5">
        <v>7</v>
      </c>
      <c r="F498" s="5">
        <v>9</v>
      </c>
      <c r="G498" s="6">
        <v>59500</v>
      </c>
      <c r="H498" s="6">
        <v>76500</v>
      </c>
      <c r="I498" s="5" t="s">
        <v>6</v>
      </c>
    </row>
    <row r="499" spans="1:9" ht="15.75" x14ac:dyDescent="0.25">
      <c r="A499" s="3" t="s">
        <v>18</v>
      </c>
      <c r="B499" s="8" t="s">
        <v>48</v>
      </c>
      <c r="C499" s="5" t="s">
        <v>73</v>
      </c>
      <c r="D499" s="5" t="s">
        <v>84</v>
      </c>
      <c r="E499" s="5">
        <v>91</v>
      </c>
      <c r="F499" s="5">
        <v>110</v>
      </c>
      <c r="G499" s="6">
        <v>127400</v>
      </c>
      <c r="H499" s="6">
        <v>154000</v>
      </c>
      <c r="I499" s="5" t="s">
        <v>6</v>
      </c>
    </row>
    <row r="500" spans="1:9" ht="15.75" x14ac:dyDescent="0.25">
      <c r="A500" s="3" t="s">
        <v>18</v>
      </c>
      <c r="B500" s="8" t="s">
        <v>47</v>
      </c>
      <c r="C500" s="5" t="s">
        <v>72</v>
      </c>
      <c r="D500" s="5" t="s">
        <v>82</v>
      </c>
      <c r="E500" s="5">
        <v>37</v>
      </c>
      <c r="F500" s="5">
        <v>79</v>
      </c>
      <c r="G500" s="6">
        <v>46250</v>
      </c>
      <c r="H500" s="6">
        <v>98750</v>
      </c>
      <c r="I500" s="5" t="s">
        <v>11</v>
      </c>
    </row>
    <row r="501" spans="1:9" ht="15.75" x14ac:dyDescent="0.25">
      <c r="A501" s="3" t="s">
        <v>18</v>
      </c>
      <c r="B501" s="8" t="s">
        <v>47</v>
      </c>
      <c r="C501" s="5" t="s">
        <v>72</v>
      </c>
      <c r="D501" s="5" t="s">
        <v>83</v>
      </c>
      <c r="E501" s="5">
        <v>6</v>
      </c>
      <c r="F501" s="5">
        <v>13</v>
      </c>
      <c r="G501" s="6">
        <v>51000</v>
      </c>
      <c r="H501" s="6">
        <v>110500</v>
      </c>
      <c r="I501" s="5" t="s">
        <v>11</v>
      </c>
    </row>
    <row r="502" spans="1:9" ht="15.75" x14ac:dyDescent="0.25">
      <c r="A502" s="3" t="s">
        <v>18</v>
      </c>
      <c r="B502" s="8" t="s">
        <v>47</v>
      </c>
      <c r="C502" s="5" t="s">
        <v>72</v>
      </c>
      <c r="D502" s="5" t="s">
        <v>84</v>
      </c>
      <c r="E502" s="5">
        <v>9</v>
      </c>
      <c r="F502" s="5">
        <v>60</v>
      </c>
      <c r="G502" s="6">
        <v>12600</v>
      </c>
      <c r="H502" s="6">
        <v>84000</v>
      </c>
      <c r="I502" s="5" t="s">
        <v>11</v>
      </c>
    </row>
    <row r="503" spans="1:9" ht="15.75" x14ac:dyDescent="0.25">
      <c r="A503" s="3" t="s">
        <v>18</v>
      </c>
      <c r="B503" s="8" t="s">
        <v>48</v>
      </c>
      <c r="C503" s="5" t="s">
        <v>73</v>
      </c>
      <c r="D503" s="5" t="s">
        <v>82</v>
      </c>
      <c r="E503" s="5">
        <v>13</v>
      </c>
      <c r="F503" s="5">
        <v>110</v>
      </c>
      <c r="G503" s="6">
        <v>16250</v>
      </c>
      <c r="H503" s="6">
        <v>137500</v>
      </c>
      <c r="I503" s="5" t="s">
        <v>11</v>
      </c>
    </row>
    <row r="504" spans="1:9" ht="15.75" x14ac:dyDescent="0.25">
      <c r="A504" s="3" t="s">
        <v>18</v>
      </c>
      <c r="B504" s="8" t="s">
        <v>48</v>
      </c>
      <c r="C504" s="5" t="s">
        <v>73</v>
      </c>
      <c r="D504" s="5" t="s">
        <v>83</v>
      </c>
      <c r="E504" s="5">
        <v>0</v>
      </c>
      <c r="F504" s="5">
        <v>1</v>
      </c>
      <c r="G504" s="6">
        <v>0</v>
      </c>
      <c r="H504" s="6">
        <v>8500</v>
      </c>
      <c r="I504" s="5" t="s">
        <v>11</v>
      </c>
    </row>
    <row r="505" spans="1:9" ht="15.75" x14ac:dyDescent="0.25">
      <c r="A505" s="3" t="s">
        <v>18</v>
      </c>
      <c r="B505" s="8" t="s">
        <v>48</v>
      </c>
      <c r="C505" s="5" t="s">
        <v>73</v>
      </c>
      <c r="D505" s="5" t="s">
        <v>84</v>
      </c>
      <c r="E505" s="5">
        <v>9</v>
      </c>
      <c r="F505" s="5">
        <v>71</v>
      </c>
      <c r="G505" s="6">
        <v>12600</v>
      </c>
      <c r="H505" s="6">
        <v>99400</v>
      </c>
      <c r="I505" s="5" t="s">
        <v>11</v>
      </c>
    </row>
    <row r="506" spans="1:9" ht="15.75" x14ac:dyDescent="0.25">
      <c r="A506" s="3" t="s">
        <v>18</v>
      </c>
      <c r="B506" s="8" t="s">
        <v>47</v>
      </c>
      <c r="C506" s="5" t="s">
        <v>72</v>
      </c>
      <c r="D506" s="5" t="s">
        <v>82</v>
      </c>
      <c r="E506" s="5">
        <v>12</v>
      </c>
      <c r="F506" s="5">
        <v>18</v>
      </c>
      <c r="G506" s="6">
        <v>15000</v>
      </c>
      <c r="H506" s="6">
        <v>22500</v>
      </c>
      <c r="I506" s="5" t="s">
        <v>3</v>
      </c>
    </row>
    <row r="507" spans="1:9" ht="15.75" x14ac:dyDescent="0.25">
      <c r="A507" s="3" t="s">
        <v>18</v>
      </c>
      <c r="B507" s="8" t="s">
        <v>47</v>
      </c>
      <c r="C507" s="5" t="s">
        <v>72</v>
      </c>
      <c r="D507" s="5" t="s">
        <v>83</v>
      </c>
      <c r="E507" s="5">
        <v>6</v>
      </c>
      <c r="F507" s="5">
        <v>9</v>
      </c>
      <c r="G507" s="6">
        <v>51000</v>
      </c>
      <c r="H507" s="6">
        <v>76500</v>
      </c>
      <c r="I507" s="5" t="s">
        <v>3</v>
      </c>
    </row>
    <row r="508" spans="1:9" ht="15.75" x14ac:dyDescent="0.25">
      <c r="A508" s="3" t="s">
        <v>18</v>
      </c>
      <c r="B508" s="8" t="s">
        <v>47</v>
      </c>
      <c r="C508" s="5" t="s">
        <v>72</v>
      </c>
      <c r="D508" s="5" t="s">
        <v>84</v>
      </c>
      <c r="E508" s="5">
        <v>26</v>
      </c>
      <c r="F508" s="5">
        <v>29</v>
      </c>
      <c r="G508" s="6">
        <v>36400</v>
      </c>
      <c r="H508" s="6">
        <v>40600</v>
      </c>
      <c r="I508" s="5" t="s">
        <v>3</v>
      </c>
    </row>
    <row r="509" spans="1:9" ht="15.75" x14ac:dyDescent="0.25">
      <c r="A509" s="3" t="s">
        <v>18</v>
      </c>
      <c r="B509" s="8" t="s">
        <v>48</v>
      </c>
      <c r="C509" s="5" t="s">
        <v>73</v>
      </c>
      <c r="D509" s="5" t="s">
        <v>82</v>
      </c>
      <c r="E509" s="5">
        <v>18</v>
      </c>
      <c r="F509" s="5">
        <v>69</v>
      </c>
      <c r="G509" s="6">
        <v>22500</v>
      </c>
      <c r="H509" s="6">
        <v>86250</v>
      </c>
      <c r="I509" s="5" t="s">
        <v>3</v>
      </c>
    </row>
    <row r="510" spans="1:9" ht="15.75" x14ac:dyDescent="0.25">
      <c r="A510" s="3" t="s">
        <v>18</v>
      </c>
      <c r="B510" s="8" t="s">
        <v>48</v>
      </c>
      <c r="C510" s="5" t="s">
        <v>73</v>
      </c>
      <c r="D510" s="5" t="s">
        <v>83</v>
      </c>
      <c r="E510" s="5">
        <v>1</v>
      </c>
      <c r="F510" s="5">
        <v>3</v>
      </c>
      <c r="G510" s="6">
        <v>8500</v>
      </c>
      <c r="H510" s="6">
        <v>25500</v>
      </c>
      <c r="I510" s="5" t="s">
        <v>3</v>
      </c>
    </row>
    <row r="511" spans="1:9" ht="15.75" x14ac:dyDescent="0.25">
      <c r="A511" s="3" t="s">
        <v>18</v>
      </c>
      <c r="B511" s="8" t="s">
        <v>48</v>
      </c>
      <c r="C511" s="5" t="s">
        <v>73</v>
      </c>
      <c r="D511" s="5" t="s">
        <v>84</v>
      </c>
      <c r="E511" s="5">
        <v>19</v>
      </c>
      <c r="F511" s="5">
        <v>38</v>
      </c>
      <c r="G511" s="6">
        <v>26600</v>
      </c>
      <c r="H511" s="6">
        <v>53200</v>
      </c>
      <c r="I511" s="5" t="s">
        <v>3</v>
      </c>
    </row>
    <row r="512" spans="1:9" ht="15.75" x14ac:dyDescent="0.25">
      <c r="A512" s="3" t="s">
        <v>18</v>
      </c>
      <c r="B512" s="8" t="s">
        <v>47</v>
      </c>
      <c r="C512" s="5" t="s">
        <v>72</v>
      </c>
      <c r="D512" s="5" t="s">
        <v>82</v>
      </c>
      <c r="E512" s="5">
        <v>42</v>
      </c>
      <c r="F512" s="5">
        <v>62</v>
      </c>
      <c r="G512" s="6">
        <v>52500</v>
      </c>
      <c r="H512" s="6">
        <v>77500</v>
      </c>
      <c r="I512" s="5" t="s">
        <v>5</v>
      </c>
    </row>
    <row r="513" spans="1:9" ht="15.75" x14ac:dyDescent="0.25">
      <c r="A513" s="3" t="s">
        <v>18</v>
      </c>
      <c r="B513" s="8" t="s">
        <v>47</v>
      </c>
      <c r="C513" s="5" t="s">
        <v>72</v>
      </c>
      <c r="D513" s="5" t="s">
        <v>83</v>
      </c>
      <c r="E513" s="5">
        <v>9</v>
      </c>
      <c r="F513" s="5">
        <v>12</v>
      </c>
      <c r="G513" s="6">
        <v>76500</v>
      </c>
      <c r="H513" s="6">
        <v>102000</v>
      </c>
      <c r="I513" s="5" t="s">
        <v>5</v>
      </c>
    </row>
    <row r="514" spans="1:9" ht="15.75" x14ac:dyDescent="0.25">
      <c r="A514" s="3" t="s">
        <v>18</v>
      </c>
      <c r="B514" s="8" t="s">
        <v>47</v>
      </c>
      <c r="C514" s="5" t="s">
        <v>72</v>
      </c>
      <c r="D514" s="5" t="s">
        <v>84</v>
      </c>
      <c r="E514" s="5">
        <v>11</v>
      </c>
      <c r="F514" s="5">
        <v>80</v>
      </c>
      <c r="G514" s="6">
        <v>15400</v>
      </c>
      <c r="H514" s="6">
        <v>112000</v>
      </c>
      <c r="I514" s="5" t="s">
        <v>5</v>
      </c>
    </row>
    <row r="515" spans="1:9" ht="15.75" x14ac:dyDescent="0.25">
      <c r="A515" s="3" t="s">
        <v>18</v>
      </c>
      <c r="B515" s="8" t="s">
        <v>48</v>
      </c>
      <c r="C515" s="5" t="s">
        <v>73</v>
      </c>
      <c r="D515" s="5" t="s">
        <v>82</v>
      </c>
      <c r="E515" s="5">
        <v>38</v>
      </c>
      <c r="F515" s="5">
        <v>65</v>
      </c>
      <c r="G515" s="6">
        <v>47500</v>
      </c>
      <c r="H515" s="6">
        <v>81250</v>
      </c>
      <c r="I515" s="5" t="s">
        <v>5</v>
      </c>
    </row>
    <row r="516" spans="1:9" ht="15.75" x14ac:dyDescent="0.25">
      <c r="A516" s="3" t="s">
        <v>18</v>
      </c>
      <c r="B516" s="8" t="s">
        <v>48</v>
      </c>
      <c r="C516" s="5" t="s">
        <v>73</v>
      </c>
      <c r="D516" s="5" t="s">
        <v>83</v>
      </c>
      <c r="E516" s="5">
        <v>43</v>
      </c>
      <c r="F516" s="5">
        <v>68</v>
      </c>
      <c r="G516" s="6">
        <v>365500</v>
      </c>
      <c r="H516" s="6">
        <v>578000</v>
      </c>
      <c r="I516" s="5" t="s">
        <v>5</v>
      </c>
    </row>
    <row r="517" spans="1:9" ht="15.75" x14ac:dyDescent="0.25">
      <c r="A517" s="3" t="s">
        <v>18</v>
      </c>
      <c r="B517" s="8" t="s">
        <v>48</v>
      </c>
      <c r="C517" s="5" t="s">
        <v>73</v>
      </c>
      <c r="D517" s="5" t="s">
        <v>84</v>
      </c>
      <c r="E517" s="5">
        <v>28</v>
      </c>
      <c r="F517" s="5">
        <v>101</v>
      </c>
      <c r="G517" s="6">
        <v>39200</v>
      </c>
      <c r="H517" s="6">
        <v>141400</v>
      </c>
      <c r="I517" s="5" t="s">
        <v>5</v>
      </c>
    </row>
    <row r="518" spans="1:9" ht="15.75" x14ac:dyDescent="0.25">
      <c r="A518" s="3" t="s">
        <v>18</v>
      </c>
      <c r="B518" s="8" t="s">
        <v>47</v>
      </c>
      <c r="C518" s="5" t="s">
        <v>72</v>
      </c>
      <c r="D518" s="5" t="s">
        <v>82</v>
      </c>
      <c r="E518" s="5">
        <v>23</v>
      </c>
      <c r="F518" s="5">
        <v>24</v>
      </c>
      <c r="G518" s="6">
        <v>28750</v>
      </c>
      <c r="H518" s="6">
        <v>30000</v>
      </c>
      <c r="I518" s="5" t="s">
        <v>4</v>
      </c>
    </row>
    <row r="519" spans="1:9" ht="15.75" x14ac:dyDescent="0.25">
      <c r="A519" s="3" t="s">
        <v>18</v>
      </c>
      <c r="B519" s="8" t="s">
        <v>47</v>
      </c>
      <c r="C519" s="5" t="s">
        <v>72</v>
      </c>
      <c r="D519" s="5" t="s">
        <v>83</v>
      </c>
      <c r="E519" s="5">
        <v>4</v>
      </c>
      <c r="F519" s="5">
        <v>7</v>
      </c>
      <c r="G519" s="6">
        <v>34000</v>
      </c>
      <c r="H519" s="6">
        <v>59500</v>
      </c>
      <c r="I519" s="5" t="s">
        <v>4</v>
      </c>
    </row>
    <row r="520" spans="1:9" ht="15.75" x14ac:dyDescent="0.25">
      <c r="A520" s="3" t="s">
        <v>18</v>
      </c>
      <c r="B520" s="8" t="s">
        <v>47</v>
      </c>
      <c r="C520" s="5" t="s">
        <v>72</v>
      </c>
      <c r="D520" s="5" t="s">
        <v>84</v>
      </c>
      <c r="E520" s="5">
        <v>55</v>
      </c>
      <c r="F520" s="5">
        <v>91</v>
      </c>
      <c r="G520" s="6">
        <v>77000</v>
      </c>
      <c r="H520" s="6">
        <v>127400</v>
      </c>
      <c r="I520" s="5" t="s">
        <v>4</v>
      </c>
    </row>
    <row r="521" spans="1:9" ht="15.75" x14ac:dyDescent="0.25">
      <c r="A521" s="3" t="s">
        <v>18</v>
      </c>
      <c r="B521" s="8" t="s">
        <v>48</v>
      </c>
      <c r="C521" s="5" t="s">
        <v>73</v>
      </c>
      <c r="D521" s="5" t="s">
        <v>82</v>
      </c>
      <c r="E521" s="5">
        <v>21</v>
      </c>
      <c r="F521" s="5">
        <v>25</v>
      </c>
      <c r="G521" s="6">
        <v>26250</v>
      </c>
      <c r="H521" s="6">
        <v>31250</v>
      </c>
      <c r="I521" s="5" t="s">
        <v>4</v>
      </c>
    </row>
    <row r="522" spans="1:9" ht="15.75" x14ac:dyDescent="0.25">
      <c r="A522" s="3" t="s">
        <v>18</v>
      </c>
      <c r="B522" s="8" t="s">
        <v>48</v>
      </c>
      <c r="C522" s="5" t="s">
        <v>73</v>
      </c>
      <c r="D522" s="5" t="s">
        <v>83</v>
      </c>
      <c r="E522" s="5">
        <v>43</v>
      </c>
      <c r="F522" s="5">
        <v>60</v>
      </c>
      <c r="G522" s="6">
        <v>365500</v>
      </c>
      <c r="H522" s="6">
        <v>510000</v>
      </c>
      <c r="I522" s="5" t="s">
        <v>4</v>
      </c>
    </row>
    <row r="523" spans="1:9" ht="15.75" x14ac:dyDescent="0.25">
      <c r="A523" s="3" t="s">
        <v>18</v>
      </c>
      <c r="B523" s="8" t="s">
        <v>48</v>
      </c>
      <c r="C523" s="5" t="s">
        <v>73</v>
      </c>
      <c r="D523" s="5" t="s">
        <v>84</v>
      </c>
      <c r="E523" s="5">
        <v>5</v>
      </c>
      <c r="F523" s="5">
        <v>22</v>
      </c>
      <c r="G523" s="6">
        <v>7000</v>
      </c>
      <c r="H523" s="6">
        <v>30800</v>
      </c>
      <c r="I523" s="5" t="s">
        <v>4</v>
      </c>
    </row>
    <row r="524" spans="1:9" ht="15.75" x14ac:dyDescent="0.25">
      <c r="A524" s="3" t="s">
        <v>18</v>
      </c>
      <c r="B524" s="8" t="s">
        <v>47</v>
      </c>
      <c r="C524" s="5" t="s">
        <v>72</v>
      </c>
      <c r="D524" s="5" t="s">
        <v>82</v>
      </c>
      <c r="E524" s="5">
        <v>20</v>
      </c>
      <c r="F524" s="5">
        <v>23</v>
      </c>
      <c r="G524" s="6">
        <v>25000</v>
      </c>
      <c r="H524" s="6">
        <v>28750</v>
      </c>
      <c r="I524" s="5" t="s">
        <v>1</v>
      </c>
    </row>
    <row r="525" spans="1:9" ht="15.75" x14ac:dyDescent="0.25">
      <c r="A525" s="3" t="s">
        <v>18</v>
      </c>
      <c r="B525" s="8" t="s">
        <v>47</v>
      </c>
      <c r="C525" s="5" t="s">
        <v>72</v>
      </c>
      <c r="D525" s="5" t="s">
        <v>83</v>
      </c>
      <c r="E525" s="5">
        <v>69</v>
      </c>
      <c r="F525" s="5">
        <v>131</v>
      </c>
      <c r="G525" s="6">
        <v>586500</v>
      </c>
      <c r="H525" s="6">
        <v>1113500</v>
      </c>
      <c r="I525" s="5" t="s">
        <v>1</v>
      </c>
    </row>
    <row r="526" spans="1:9" ht="15.75" x14ac:dyDescent="0.25">
      <c r="A526" s="3" t="s">
        <v>18</v>
      </c>
      <c r="B526" s="8" t="s">
        <v>47</v>
      </c>
      <c r="C526" s="5" t="s">
        <v>72</v>
      </c>
      <c r="D526" s="5" t="s">
        <v>84</v>
      </c>
      <c r="E526" s="5">
        <v>34</v>
      </c>
      <c r="F526" s="5">
        <v>67</v>
      </c>
      <c r="G526" s="6">
        <v>47600</v>
      </c>
      <c r="H526" s="6">
        <v>93800</v>
      </c>
      <c r="I526" s="5" t="s">
        <v>1</v>
      </c>
    </row>
    <row r="527" spans="1:9" ht="15.75" x14ac:dyDescent="0.25">
      <c r="A527" s="3" t="s">
        <v>18</v>
      </c>
      <c r="B527" s="8" t="s">
        <v>48</v>
      </c>
      <c r="C527" s="5" t="s">
        <v>73</v>
      </c>
      <c r="D527" s="5" t="s">
        <v>82</v>
      </c>
      <c r="E527" s="5">
        <v>4</v>
      </c>
      <c r="F527" s="5">
        <v>5</v>
      </c>
      <c r="G527" s="6">
        <v>5000</v>
      </c>
      <c r="H527" s="6">
        <v>6250</v>
      </c>
      <c r="I527" s="5" t="s">
        <v>1</v>
      </c>
    </row>
    <row r="528" spans="1:9" ht="15.75" x14ac:dyDescent="0.25">
      <c r="A528" s="3" t="s">
        <v>18</v>
      </c>
      <c r="B528" s="8" t="s">
        <v>48</v>
      </c>
      <c r="C528" s="5" t="s">
        <v>73</v>
      </c>
      <c r="D528" s="5" t="s">
        <v>83</v>
      </c>
      <c r="E528" s="5">
        <v>19</v>
      </c>
      <c r="F528" s="5">
        <v>80</v>
      </c>
      <c r="G528" s="6">
        <v>161500</v>
      </c>
      <c r="H528" s="6">
        <v>680000</v>
      </c>
      <c r="I528" s="5" t="s">
        <v>1</v>
      </c>
    </row>
    <row r="529" spans="1:9" ht="15.75" x14ac:dyDescent="0.25">
      <c r="A529" s="3" t="s">
        <v>18</v>
      </c>
      <c r="B529" s="8" t="s">
        <v>48</v>
      </c>
      <c r="C529" s="5" t="s">
        <v>73</v>
      </c>
      <c r="D529" s="5" t="s">
        <v>84</v>
      </c>
      <c r="E529" s="5">
        <v>15</v>
      </c>
      <c r="F529" s="5">
        <v>46</v>
      </c>
      <c r="G529" s="6">
        <v>21000</v>
      </c>
      <c r="H529" s="6">
        <v>64400</v>
      </c>
      <c r="I529" s="5" t="s">
        <v>1</v>
      </c>
    </row>
    <row r="530" spans="1:9" ht="15.75" x14ac:dyDescent="0.25">
      <c r="A530" s="3" t="s">
        <v>18</v>
      </c>
      <c r="B530" s="8" t="s">
        <v>47</v>
      </c>
      <c r="C530" s="5" t="s">
        <v>72</v>
      </c>
      <c r="D530" s="5" t="s">
        <v>82</v>
      </c>
      <c r="E530" s="5">
        <v>28</v>
      </c>
      <c r="F530" s="5">
        <v>64</v>
      </c>
      <c r="G530" s="6">
        <v>35000</v>
      </c>
      <c r="H530" s="6">
        <v>80000</v>
      </c>
      <c r="I530" s="5" t="s">
        <v>2</v>
      </c>
    </row>
    <row r="531" spans="1:9" ht="15.75" x14ac:dyDescent="0.25">
      <c r="A531" s="3" t="s">
        <v>18</v>
      </c>
      <c r="B531" s="8" t="s">
        <v>47</v>
      </c>
      <c r="C531" s="5" t="s">
        <v>72</v>
      </c>
      <c r="D531" s="5" t="s">
        <v>83</v>
      </c>
      <c r="E531" s="5">
        <v>18</v>
      </c>
      <c r="F531" s="5">
        <v>27</v>
      </c>
      <c r="G531" s="6">
        <v>153000</v>
      </c>
      <c r="H531" s="6">
        <v>229500</v>
      </c>
      <c r="I531" s="5" t="s">
        <v>2</v>
      </c>
    </row>
    <row r="532" spans="1:9" ht="15.75" x14ac:dyDescent="0.25">
      <c r="A532" s="3" t="s">
        <v>18</v>
      </c>
      <c r="B532" s="8" t="s">
        <v>47</v>
      </c>
      <c r="C532" s="5" t="s">
        <v>72</v>
      </c>
      <c r="D532" s="5" t="s">
        <v>84</v>
      </c>
      <c r="E532" s="5">
        <v>12</v>
      </c>
      <c r="F532" s="5">
        <v>126</v>
      </c>
      <c r="G532" s="6">
        <v>16800</v>
      </c>
      <c r="H532" s="6">
        <v>176400</v>
      </c>
      <c r="I532" s="5" t="s">
        <v>2</v>
      </c>
    </row>
    <row r="533" spans="1:9" ht="15.75" x14ac:dyDescent="0.25">
      <c r="A533" s="3" t="s">
        <v>18</v>
      </c>
      <c r="B533" s="8" t="s">
        <v>48</v>
      </c>
      <c r="C533" s="5" t="s">
        <v>73</v>
      </c>
      <c r="D533" s="5" t="s">
        <v>82</v>
      </c>
      <c r="E533" s="5">
        <v>10</v>
      </c>
      <c r="F533" s="5">
        <v>15</v>
      </c>
      <c r="G533" s="6">
        <v>12500</v>
      </c>
      <c r="H533" s="6">
        <v>18750</v>
      </c>
      <c r="I533" s="5" t="s">
        <v>2</v>
      </c>
    </row>
    <row r="534" spans="1:9" ht="15.75" x14ac:dyDescent="0.25">
      <c r="A534" s="3" t="s">
        <v>18</v>
      </c>
      <c r="B534" s="8" t="s">
        <v>48</v>
      </c>
      <c r="C534" s="5" t="s">
        <v>73</v>
      </c>
      <c r="D534" s="5" t="s">
        <v>83</v>
      </c>
      <c r="E534" s="5">
        <v>18</v>
      </c>
      <c r="F534" s="5">
        <v>21</v>
      </c>
      <c r="G534" s="6">
        <v>153000</v>
      </c>
      <c r="H534" s="6">
        <v>178500</v>
      </c>
      <c r="I534" s="5" t="s">
        <v>2</v>
      </c>
    </row>
    <row r="535" spans="1:9" ht="15.75" x14ac:dyDescent="0.25">
      <c r="A535" s="3" t="s">
        <v>18</v>
      </c>
      <c r="B535" s="8" t="s">
        <v>48</v>
      </c>
      <c r="C535" s="5" t="s">
        <v>73</v>
      </c>
      <c r="D535" s="5" t="s">
        <v>84</v>
      </c>
      <c r="E535" s="5">
        <v>29</v>
      </c>
      <c r="F535" s="5">
        <v>37</v>
      </c>
      <c r="G535" s="6">
        <v>40600</v>
      </c>
      <c r="H535" s="6">
        <v>51800</v>
      </c>
      <c r="I535" s="5" t="s">
        <v>2</v>
      </c>
    </row>
    <row r="536" spans="1:9" ht="15.75" x14ac:dyDescent="0.25">
      <c r="A536" s="3" t="s">
        <v>18</v>
      </c>
      <c r="B536" s="8" t="s">
        <v>47</v>
      </c>
      <c r="C536" s="5" t="s">
        <v>72</v>
      </c>
      <c r="D536" s="5" t="s">
        <v>82</v>
      </c>
      <c r="E536" s="5">
        <v>14</v>
      </c>
      <c r="F536" s="5">
        <v>25</v>
      </c>
      <c r="G536" s="6">
        <v>17500</v>
      </c>
      <c r="H536" s="6">
        <v>31250</v>
      </c>
      <c r="I536" s="5" t="s">
        <v>7</v>
      </c>
    </row>
    <row r="537" spans="1:9" ht="15.75" x14ac:dyDescent="0.25">
      <c r="A537" s="3" t="s">
        <v>18</v>
      </c>
      <c r="B537" s="8" t="s">
        <v>47</v>
      </c>
      <c r="C537" s="5" t="s">
        <v>72</v>
      </c>
      <c r="D537" s="5" t="s">
        <v>83</v>
      </c>
      <c r="E537" s="5">
        <v>3</v>
      </c>
      <c r="F537" s="5">
        <v>6</v>
      </c>
      <c r="G537" s="6">
        <v>25500</v>
      </c>
      <c r="H537" s="6">
        <v>51000</v>
      </c>
      <c r="I537" s="5" t="s">
        <v>7</v>
      </c>
    </row>
    <row r="538" spans="1:9" ht="15.75" x14ac:dyDescent="0.25">
      <c r="A538" s="3" t="s">
        <v>18</v>
      </c>
      <c r="B538" s="8" t="s">
        <v>47</v>
      </c>
      <c r="C538" s="5" t="s">
        <v>72</v>
      </c>
      <c r="D538" s="5" t="s">
        <v>84</v>
      </c>
      <c r="E538" s="5">
        <v>11</v>
      </c>
      <c r="F538" s="5">
        <v>15</v>
      </c>
      <c r="G538" s="6">
        <v>15400</v>
      </c>
      <c r="H538" s="6">
        <v>21000</v>
      </c>
      <c r="I538" s="5" t="s">
        <v>7</v>
      </c>
    </row>
    <row r="539" spans="1:9" ht="15.75" x14ac:dyDescent="0.25">
      <c r="A539" s="3" t="s">
        <v>18</v>
      </c>
      <c r="B539" s="8" t="s">
        <v>48</v>
      </c>
      <c r="C539" s="5" t="s">
        <v>73</v>
      </c>
      <c r="D539" s="5" t="s">
        <v>82</v>
      </c>
      <c r="E539" s="5">
        <v>25</v>
      </c>
      <c r="F539" s="5">
        <v>84</v>
      </c>
      <c r="G539" s="6">
        <v>31250</v>
      </c>
      <c r="H539" s="6">
        <v>105000</v>
      </c>
      <c r="I539" s="5" t="s">
        <v>7</v>
      </c>
    </row>
    <row r="540" spans="1:9" ht="15.75" x14ac:dyDescent="0.25">
      <c r="A540" s="3" t="s">
        <v>18</v>
      </c>
      <c r="B540" s="8" t="s">
        <v>48</v>
      </c>
      <c r="C540" s="5" t="s">
        <v>73</v>
      </c>
      <c r="D540" s="5" t="s">
        <v>83</v>
      </c>
      <c r="E540" s="5">
        <v>100</v>
      </c>
      <c r="F540" s="5">
        <v>100</v>
      </c>
      <c r="G540" s="6">
        <v>850000</v>
      </c>
      <c r="H540" s="6">
        <v>850000</v>
      </c>
      <c r="I540" s="5" t="s">
        <v>7</v>
      </c>
    </row>
    <row r="541" spans="1:9" ht="15.75" x14ac:dyDescent="0.25">
      <c r="A541" s="3" t="s">
        <v>18</v>
      </c>
      <c r="B541" s="8" t="s">
        <v>48</v>
      </c>
      <c r="C541" s="5" t="s">
        <v>73</v>
      </c>
      <c r="D541" s="5" t="s">
        <v>84</v>
      </c>
      <c r="E541" s="5">
        <v>19</v>
      </c>
      <c r="F541" s="5">
        <v>23</v>
      </c>
      <c r="G541" s="6">
        <v>26600</v>
      </c>
      <c r="H541" s="6">
        <v>32200</v>
      </c>
      <c r="I541" s="5" t="s">
        <v>7</v>
      </c>
    </row>
    <row r="542" spans="1:9" ht="15.75" x14ac:dyDescent="0.25">
      <c r="A542" s="3" t="s">
        <v>19</v>
      </c>
      <c r="B542" s="8" t="s">
        <v>49</v>
      </c>
      <c r="C542" s="5" t="s">
        <v>74</v>
      </c>
      <c r="D542" s="5" t="s">
        <v>82</v>
      </c>
      <c r="E542" s="5">
        <v>20</v>
      </c>
      <c r="F542" s="5">
        <v>116</v>
      </c>
      <c r="G542" s="6">
        <v>25000</v>
      </c>
      <c r="H542" s="6">
        <v>145000</v>
      </c>
      <c r="I542" s="5" t="s">
        <v>8</v>
      </c>
    </row>
    <row r="543" spans="1:9" ht="15.75" x14ac:dyDescent="0.25">
      <c r="A543" s="3" t="s">
        <v>19</v>
      </c>
      <c r="B543" s="8" t="s">
        <v>49</v>
      </c>
      <c r="C543" s="5" t="s">
        <v>74</v>
      </c>
      <c r="D543" s="5" t="s">
        <v>83</v>
      </c>
      <c r="E543" s="5">
        <v>69</v>
      </c>
      <c r="F543" s="5">
        <v>82</v>
      </c>
      <c r="G543" s="6">
        <v>586500</v>
      </c>
      <c r="H543" s="6">
        <v>697000</v>
      </c>
      <c r="I543" s="5" t="s">
        <v>8</v>
      </c>
    </row>
    <row r="544" spans="1:9" ht="15.75" x14ac:dyDescent="0.25">
      <c r="A544" s="3" t="s">
        <v>19</v>
      </c>
      <c r="B544" s="8" t="s">
        <v>49</v>
      </c>
      <c r="C544" s="5" t="s">
        <v>74</v>
      </c>
      <c r="D544" s="5" t="s">
        <v>84</v>
      </c>
      <c r="E544" s="5">
        <v>6</v>
      </c>
      <c r="F544" s="5">
        <v>12</v>
      </c>
      <c r="G544" s="6">
        <v>8400</v>
      </c>
      <c r="H544" s="6">
        <v>16800</v>
      </c>
      <c r="I544" s="5" t="s">
        <v>8</v>
      </c>
    </row>
    <row r="545" spans="1:9" ht="15.75" x14ac:dyDescent="0.25">
      <c r="A545" s="3" t="s">
        <v>19</v>
      </c>
      <c r="B545" s="8" t="s">
        <v>50</v>
      </c>
      <c r="C545" s="5" t="s">
        <v>75</v>
      </c>
      <c r="D545" s="5" t="s">
        <v>82</v>
      </c>
      <c r="E545" s="5">
        <v>36</v>
      </c>
      <c r="F545" s="5">
        <v>49</v>
      </c>
      <c r="G545" s="6">
        <v>45000</v>
      </c>
      <c r="H545" s="6">
        <v>61250</v>
      </c>
      <c r="I545" s="5" t="s">
        <v>8</v>
      </c>
    </row>
    <row r="546" spans="1:9" ht="15.75" x14ac:dyDescent="0.25">
      <c r="A546" s="3" t="s">
        <v>19</v>
      </c>
      <c r="B546" s="8" t="s">
        <v>50</v>
      </c>
      <c r="C546" s="5" t="s">
        <v>75</v>
      </c>
      <c r="D546" s="5" t="s">
        <v>83</v>
      </c>
      <c r="E546" s="5">
        <v>80</v>
      </c>
      <c r="F546" s="5">
        <v>113</v>
      </c>
      <c r="G546" s="6">
        <v>680000</v>
      </c>
      <c r="H546" s="6">
        <v>960500</v>
      </c>
      <c r="I546" s="5" t="s">
        <v>8</v>
      </c>
    </row>
    <row r="547" spans="1:9" ht="15.75" x14ac:dyDescent="0.25">
      <c r="A547" s="3" t="s">
        <v>19</v>
      </c>
      <c r="B547" s="8" t="s">
        <v>50</v>
      </c>
      <c r="C547" s="5" t="s">
        <v>75</v>
      </c>
      <c r="D547" s="5" t="s">
        <v>84</v>
      </c>
      <c r="E547" s="5">
        <v>20</v>
      </c>
      <c r="F547" s="5">
        <v>21</v>
      </c>
      <c r="G547" s="6">
        <v>28000</v>
      </c>
      <c r="H547" s="6">
        <v>29400</v>
      </c>
      <c r="I547" s="5" t="s">
        <v>8</v>
      </c>
    </row>
    <row r="548" spans="1:9" ht="15.75" x14ac:dyDescent="0.25">
      <c r="A548" s="3" t="s">
        <v>19</v>
      </c>
      <c r="B548" s="8" t="s">
        <v>49</v>
      </c>
      <c r="C548" s="5" t="s">
        <v>74</v>
      </c>
      <c r="D548" s="5" t="s">
        <v>82</v>
      </c>
      <c r="E548" s="5">
        <v>6</v>
      </c>
      <c r="F548" s="5">
        <v>49</v>
      </c>
      <c r="G548" s="6">
        <v>7500</v>
      </c>
      <c r="H548" s="6">
        <v>61250</v>
      </c>
      <c r="I548" s="5" t="s">
        <v>12</v>
      </c>
    </row>
    <row r="549" spans="1:9" ht="15.75" x14ac:dyDescent="0.25">
      <c r="A549" s="3" t="s">
        <v>19</v>
      </c>
      <c r="B549" s="8" t="s">
        <v>49</v>
      </c>
      <c r="C549" s="5" t="s">
        <v>74</v>
      </c>
      <c r="D549" s="5" t="s">
        <v>83</v>
      </c>
      <c r="E549" s="5">
        <v>31</v>
      </c>
      <c r="F549" s="5">
        <v>60</v>
      </c>
      <c r="G549" s="6">
        <v>263500</v>
      </c>
      <c r="H549" s="6">
        <v>510000</v>
      </c>
      <c r="I549" s="5" t="s">
        <v>12</v>
      </c>
    </row>
    <row r="550" spans="1:9" ht="15.75" x14ac:dyDescent="0.25">
      <c r="A550" s="3" t="s">
        <v>19</v>
      </c>
      <c r="B550" s="8" t="s">
        <v>49</v>
      </c>
      <c r="C550" s="5" t="s">
        <v>74</v>
      </c>
      <c r="D550" s="5" t="s">
        <v>84</v>
      </c>
      <c r="E550" s="5">
        <v>31</v>
      </c>
      <c r="F550" s="5">
        <v>65</v>
      </c>
      <c r="G550" s="6">
        <v>43400</v>
      </c>
      <c r="H550" s="6">
        <v>91000</v>
      </c>
      <c r="I550" s="5" t="s">
        <v>12</v>
      </c>
    </row>
    <row r="551" spans="1:9" ht="15.75" x14ac:dyDescent="0.25">
      <c r="A551" s="3" t="s">
        <v>19</v>
      </c>
      <c r="B551" s="8" t="s">
        <v>50</v>
      </c>
      <c r="C551" s="5" t="s">
        <v>75</v>
      </c>
      <c r="D551" s="5" t="s">
        <v>82</v>
      </c>
      <c r="E551" s="5">
        <v>33</v>
      </c>
      <c r="F551" s="5">
        <v>46</v>
      </c>
      <c r="G551" s="6">
        <v>41250</v>
      </c>
      <c r="H551" s="6">
        <v>57500</v>
      </c>
      <c r="I551" s="5" t="s">
        <v>12</v>
      </c>
    </row>
    <row r="552" spans="1:9" ht="15.75" x14ac:dyDescent="0.25">
      <c r="A552" s="3" t="s">
        <v>19</v>
      </c>
      <c r="B552" s="8" t="s">
        <v>50</v>
      </c>
      <c r="C552" s="5" t="s">
        <v>75</v>
      </c>
      <c r="D552" s="5" t="s">
        <v>83</v>
      </c>
      <c r="E552" s="5">
        <v>103</v>
      </c>
      <c r="F552" s="5">
        <v>105</v>
      </c>
      <c r="G552" s="6">
        <v>875500</v>
      </c>
      <c r="H552" s="6">
        <v>892500</v>
      </c>
      <c r="I552" s="5" t="s">
        <v>12</v>
      </c>
    </row>
    <row r="553" spans="1:9" ht="15.75" x14ac:dyDescent="0.25">
      <c r="A553" s="3" t="s">
        <v>19</v>
      </c>
      <c r="B553" s="8" t="s">
        <v>50</v>
      </c>
      <c r="C553" s="5" t="s">
        <v>75</v>
      </c>
      <c r="D553" s="5" t="s">
        <v>84</v>
      </c>
      <c r="E553" s="5">
        <v>0</v>
      </c>
      <c r="F553" s="5">
        <v>1</v>
      </c>
      <c r="G553" s="6">
        <v>0</v>
      </c>
      <c r="H553" s="6">
        <v>1400</v>
      </c>
      <c r="I553" s="5" t="s">
        <v>12</v>
      </c>
    </row>
    <row r="554" spans="1:9" ht="15.75" x14ac:dyDescent="0.25">
      <c r="A554" s="3" t="s">
        <v>19</v>
      </c>
      <c r="B554" s="8" t="s">
        <v>49</v>
      </c>
      <c r="C554" s="5" t="s">
        <v>74</v>
      </c>
      <c r="D554" s="5" t="s">
        <v>82</v>
      </c>
      <c r="E554" s="5">
        <v>3</v>
      </c>
      <c r="F554" s="5">
        <v>11</v>
      </c>
      <c r="G554" s="6">
        <v>3750</v>
      </c>
      <c r="H554" s="6">
        <v>13750</v>
      </c>
      <c r="I554" s="5" t="s">
        <v>10</v>
      </c>
    </row>
    <row r="555" spans="1:9" ht="15.75" x14ac:dyDescent="0.25">
      <c r="A555" s="3" t="s">
        <v>19</v>
      </c>
      <c r="B555" s="8" t="s">
        <v>49</v>
      </c>
      <c r="C555" s="5" t="s">
        <v>74</v>
      </c>
      <c r="D555" s="5" t="s">
        <v>83</v>
      </c>
      <c r="E555" s="5">
        <v>8</v>
      </c>
      <c r="F555" s="5">
        <v>39</v>
      </c>
      <c r="G555" s="6">
        <v>68000</v>
      </c>
      <c r="H555" s="6">
        <v>331500</v>
      </c>
      <c r="I555" s="5" t="s">
        <v>10</v>
      </c>
    </row>
    <row r="556" spans="1:9" ht="15.75" x14ac:dyDescent="0.25">
      <c r="A556" s="3" t="s">
        <v>19</v>
      </c>
      <c r="B556" s="8" t="s">
        <v>49</v>
      </c>
      <c r="C556" s="5" t="s">
        <v>74</v>
      </c>
      <c r="D556" s="5" t="s">
        <v>84</v>
      </c>
      <c r="E556" s="5">
        <v>14</v>
      </c>
      <c r="F556" s="5">
        <v>33</v>
      </c>
      <c r="G556" s="6">
        <v>19600</v>
      </c>
      <c r="H556" s="6">
        <v>46200</v>
      </c>
      <c r="I556" s="5" t="s">
        <v>10</v>
      </c>
    </row>
    <row r="557" spans="1:9" ht="15.75" x14ac:dyDescent="0.25">
      <c r="A557" s="3" t="s">
        <v>19</v>
      </c>
      <c r="B557" s="8" t="s">
        <v>50</v>
      </c>
      <c r="C557" s="5" t="s">
        <v>75</v>
      </c>
      <c r="D557" s="5" t="s">
        <v>82</v>
      </c>
      <c r="E557" s="5">
        <v>40</v>
      </c>
      <c r="F557" s="5">
        <v>60</v>
      </c>
      <c r="G557" s="6">
        <v>50000</v>
      </c>
      <c r="H557" s="6">
        <v>75000</v>
      </c>
      <c r="I557" s="5" t="s">
        <v>10</v>
      </c>
    </row>
    <row r="558" spans="1:9" ht="15.75" x14ac:dyDescent="0.25">
      <c r="A558" s="3" t="s">
        <v>19</v>
      </c>
      <c r="B558" s="8" t="s">
        <v>50</v>
      </c>
      <c r="C558" s="5" t="s">
        <v>75</v>
      </c>
      <c r="D558" s="5" t="s">
        <v>83</v>
      </c>
      <c r="E558" s="5">
        <v>0</v>
      </c>
      <c r="F558" s="5">
        <v>5</v>
      </c>
      <c r="G558" s="6">
        <v>0</v>
      </c>
      <c r="H558" s="6">
        <v>42500</v>
      </c>
      <c r="I558" s="5" t="s">
        <v>10</v>
      </c>
    </row>
    <row r="559" spans="1:9" ht="15.75" x14ac:dyDescent="0.25">
      <c r="A559" s="3" t="s">
        <v>19</v>
      </c>
      <c r="B559" s="8" t="s">
        <v>50</v>
      </c>
      <c r="C559" s="5" t="s">
        <v>75</v>
      </c>
      <c r="D559" s="5" t="s">
        <v>84</v>
      </c>
      <c r="E559" s="5">
        <v>11</v>
      </c>
      <c r="F559" s="5">
        <v>44</v>
      </c>
      <c r="G559" s="6">
        <v>15400</v>
      </c>
      <c r="H559" s="6">
        <v>61600</v>
      </c>
      <c r="I559" s="5" t="s">
        <v>10</v>
      </c>
    </row>
    <row r="560" spans="1:9" ht="15.75" x14ac:dyDescent="0.25">
      <c r="A560" s="3" t="s">
        <v>19</v>
      </c>
      <c r="B560" s="8" t="s">
        <v>49</v>
      </c>
      <c r="C560" s="5" t="s">
        <v>74</v>
      </c>
      <c r="D560" s="5" t="s">
        <v>82</v>
      </c>
      <c r="E560" s="5">
        <v>22</v>
      </c>
      <c r="F560" s="5">
        <v>43</v>
      </c>
      <c r="G560" s="6">
        <v>27500</v>
      </c>
      <c r="H560" s="6">
        <v>53750</v>
      </c>
      <c r="I560" s="5" t="s">
        <v>9</v>
      </c>
    </row>
    <row r="561" spans="1:9" ht="15.75" x14ac:dyDescent="0.25">
      <c r="A561" s="3" t="s">
        <v>19</v>
      </c>
      <c r="B561" s="8" t="s">
        <v>49</v>
      </c>
      <c r="C561" s="5" t="s">
        <v>74</v>
      </c>
      <c r="D561" s="5" t="s">
        <v>83</v>
      </c>
      <c r="E561" s="5">
        <v>19</v>
      </c>
      <c r="F561" s="5">
        <v>30</v>
      </c>
      <c r="G561" s="6">
        <v>161500</v>
      </c>
      <c r="H561" s="6">
        <v>255000</v>
      </c>
      <c r="I561" s="5" t="s">
        <v>9</v>
      </c>
    </row>
    <row r="562" spans="1:9" ht="15.75" x14ac:dyDescent="0.25">
      <c r="A562" s="3" t="s">
        <v>19</v>
      </c>
      <c r="B562" s="8" t="s">
        <v>49</v>
      </c>
      <c r="C562" s="5" t="s">
        <v>74</v>
      </c>
      <c r="D562" s="5" t="s">
        <v>84</v>
      </c>
      <c r="E562" s="5">
        <v>63</v>
      </c>
      <c r="F562" s="5">
        <v>75</v>
      </c>
      <c r="G562" s="6">
        <v>88200</v>
      </c>
      <c r="H562" s="6">
        <v>105000</v>
      </c>
      <c r="I562" s="5" t="s">
        <v>9</v>
      </c>
    </row>
    <row r="563" spans="1:9" ht="15.75" x14ac:dyDescent="0.25">
      <c r="A563" s="3" t="s">
        <v>19</v>
      </c>
      <c r="B563" s="8" t="s">
        <v>50</v>
      </c>
      <c r="C563" s="5" t="s">
        <v>75</v>
      </c>
      <c r="D563" s="5" t="s">
        <v>82</v>
      </c>
      <c r="E563" s="5">
        <v>4</v>
      </c>
      <c r="F563" s="5">
        <v>5</v>
      </c>
      <c r="G563" s="6">
        <v>5000</v>
      </c>
      <c r="H563" s="6">
        <v>6250</v>
      </c>
      <c r="I563" s="5" t="s">
        <v>9</v>
      </c>
    </row>
    <row r="564" spans="1:9" ht="15.75" x14ac:dyDescent="0.25">
      <c r="A564" s="3" t="s">
        <v>19</v>
      </c>
      <c r="B564" s="8" t="s">
        <v>50</v>
      </c>
      <c r="C564" s="5" t="s">
        <v>75</v>
      </c>
      <c r="D564" s="5" t="s">
        <v>83</v>
      </c>
      <c r="E564" s="5">
        <v>5</v>
      </c>
      <c r="F564" s="5">
        <v>7</v>
      </c>
      <c r="G564" s="6">
        <v>42500</v>
      </c>
      <c r="H564" s="6">
        <v>59500</v>
      </c>
      <c r="I564" s="5" t="s">
        <v>9</v>
      </c>
    </row>
    <row r="565" spans="1:9" ht="15.75" x14ac:dyDescent="0.25">
      <c r="A565" s="3" t="s">
        <v>19</v>
      </c>
      <c r="B565" s="8" t="s">
        <v>50</v>
      </c>
      <c r="C565" s="5" t="s">
        <v>75</v>
      </c>
      <c r="D565" s="5" t="s">
        <v>84</v>
      </c>
      <c r="E565" s="5">
        <v>11</v>
      </c>
      <c r="F565" s="5">
        <v>35</v>
      </c>
      <c r="G565" s="6">
        <v>15400</v>
      </c>
      <c r="H565" s="6">
        <v>49000</v>
      </c>
      <c r="I565" s="5" t="s">
        <v>9</v>
      </c>
    </row>
    <row r="566" spans="1:9" ht="15.75" x14ac:dyDescent="0.25">
      <c r="A566" s="3" t="s">
        <v>19</v>
      </c>
      <c r="B566" s="8" t="s">
        <v>49</v>
      </c>
      <c r="C566" s="5" t="s">
        <v>74</v>
      </c>
      <c r="D566" s="5" t="s">
        <v>82</v>
      </c>
      <c r="E566" s="5">
        <v>52</v>
      </c>
      <c r="F566" s="5">
        <v>65</v>
      </c>
      <c r="G566" s="6">
        <v>65000</v>
      </c>
      <c r="H566" s="6">
        <v>81250</v>
      </c>
      <c r="I566" s="5" t="s">
        <v>6</v>
      </c>
    </row>
    <row r="567" spans="1:9" ht="15.75" x14ac:dyDescent="0.25">
      <c r="A567" s="3" t="s">
        <v>19</v>
      </c>
      <c r="B567" s="8" t="s">
        <v>49</v>
      </c>
      <c r="C567" s="5" t="s">
        <v>74</v>
      </c>
      <c r="D567" s="5" t="s">
        <v>83</v>
      </c>
      <c r="E567" s="5">
        <v>5</v>
      </c>
      <c r="F567" s="5">
        <v>37</v>
      </c>
      <c r="G567" s="6">
        <v>42500</v>
      </c>
      <c r="H567" s="6">
        <v>314500</v>
      </c>
      <c r="I567" s="5" t="s">
        <v>6</v>
      </c>
    </row>
    <row r="568" spans="1:9" ht="15.75" x14ac:dyDescent="0.25">
      <c r="A568" s="3" t="s">
        <v>19</v>
      </c>
      <c r="B568" s="8" t="s">
        <v>49</v>
      </c>
      <c r="C568" s="5" t="s">
        <v>74</v>
      </c>
      <c r="D568" s="5" t="s">
        <v>84</v>
      </c>
      <c r="E568" s="5">
        <v>33</v>
      </c>
      <c r="F568" s="5">
        <v>34</v>
      </c>
      <c r="G568" s="6">
        <v>46200</v>
      </c>
      <c r="H568" s="6">
        <v>47600</v>
      </c>
      <c r="I568" s="5" t="s">
        <v>6</v>
      </c>
    </row>
    <row r="569" spans="1:9" ht="15.75" x14ac:dyDescent="0.25">
      <c r="A569" s="3" t="s">
        <v>19</v>
      </c>
      <c r="B569" s="8" t="s">
        <v>50</v>
      </c>
      <c r="C569" s="5" t="s">
        <v>75</v>
      </c>
      <c r="D569" s="5" t="s">
        <v>82</v>
      </c>
      <c r="E569" s="5">
        <v>12</v>
      </c>
      <c r="F569" s="5">
        <v>16</v>
      </c>
      <c r="G569" s="6">
        <v>15000</v>
      </c>
      <c r="H569" s="6">
        <v>20000</v>
      </c>
      <c r="I569" s="5" t="s">
        <v>6</v>
      </c>
    </row>
    <row r="570" spans="1:9" ht="15.75" x14ac:dyDescent="0.25">
      <c r="A570" s="3" t="s">
        <v>19</v>
      </c>
      <c r="B570" s="8" t="s">
        <v>50</v>
      </c>
      <c r="C570" s="5" t="s">
        <v>75</v>
      </c>
      <c r="D570" s="5" t="s">
        <v>83</v>
      </c>
      <c r="E570" s="5">
        <v>90</v>
      </c>
      <c r="F570" s="5">
        <v>117</v>
      </c>
      <c r="G570" s="6">
        <v>765000</v>
      </c>
      <c r="H570" s="6">
        <v>994500</v>
      </c>
      <c r="I570" s="5" t="s">
        <v>6</v>
      </c>
    </row>
    <row r="571" spans="1:9" ht="15.75" x14ac:dyDescent="0.25">
      <c r="A571" s="3" t="s">
        <v>19</v>
      </c>
      <c r="B571" s="8" t="s">
        <v>50</v>
      </c>
      <c r="C571" s="5" t="s">
        <v>75</v>
      </c>
      <c r="D571" s="5" t="s">
        <v>84</v>
      </c>
      <c r="E571" s="5">
        <v>34</v>
      </c>
      <c r="F571" s="5">
        <v>46</v>
      </c>
      <c r="G571" s="6">
        <v>47600</v>
      </c>
      <c r="H571" s="6">
        <v>64400</v>
      </c>
      <c r="I571" s="5" t="s">
        <v>6</v>
      </c>
    </row>
    <row r="572" spans="1:9" ht="15.75" x14ac:dyDescent="0.25">
      <c r="A572" s="3" t="s">
        <v>19</v>
      </c>
      <c r="B572" s="8" t="s">
        <v>49</v>
      </c>
      <c r="C572" s="5" t="s">
        <v>74</v>
      </c>
      <c r="D572" s="5" t="s">
        <v>82</v>
      </c>
      <c r="E572" s="5">
        <v>73</v>
      </c>
      <c r="F572" s="5">
        <v>123</v>
      </c>
      <c r="G572" s="6">
        <v>91250</v>
      </c>
      <c r="H572" s="6">
        <v>153750</v>
      </c>
      <c r="I572" s="5" t="s">
        <v>11</v>
      </c>
    </row>
    <row r="573" spans="1:9" ht="15.75" x14ac:dyDescent="0.25">
      <c r="A573" s="3" t="s">
        <v>19</v>
      </c>
      <c r="B573" s="8" t="s">
        <v>49</v>
      </c>
      <c r="C573" s="5" t="s">
        <v>74</v>
      </c>
      <c r="D573" s="5" t="s">
        <v>83</v>
      </c>
      <c r="E573" s="5">
        <v>48</v>
      </c>
      <c r="F573" s="5">
        <v>96</v>
      </c>
      <c r="G573" s="6">
        <v>408000</v>
      </c>
      <c r="H573" s="6">
        <v>816000</v>
      </c>
      <c r="I573" s="5" t="s">
        <v>11</v>
      </c>
    </row>
    <row r="574" spans="1:9" ht="15.75" x14ac:dyDescent="0.25">
      <c r="A574" s="3" t="s">
        <v>19</v>
      </c>
      <c r="B574" s="8" t="s">
        <v>49</v>
      </c>
      <c r="C574" s="5" t="s">
        <v>74</v>
      </c>
      <c r="D574" s="5" t="s">
        <v>84</v>
      </c>
      <c r="E574" s="5">
        <v>7</v>
      </c>
      <c r="F574" s="5">
        <v>13</v>
      </c>
      <c r="G574" s="6">
        <v>9800</v>
      </c>
      <c r="H574" s="6">
        <v>18200</v>
      </c>
      <c r="I574" s="5" t="s">
        <v>11</v>
      </c>
    </row>
    <row r="575" spans="1:9" ht="15.75" x14ac:dyDescent="0.25">
      <c r="A575" s="3" t="s">
        <v>19</v>
      </c>
      <c r="B575" s="8" t="s">
        <v>50</v>
      </c>
      <c r="C575" s="5" t="s">
        <v>75</v>
      </c>
      <c r="D575" s="5" t="s">
        <v>82</v>
      </c>
      <c r="E575" s="5">
        <v>15</v>
      </c>
      <c r="F575" s="5">
        <v>101</v>
      </c>
      <c r="G575" s="6">
        <v>18750</v>
      </c>
      <c r="H575" s="6">
        <v>126250</v>
      </c>
      <c r="I575" s="5" t="s">
        <v>11</v>
      </c>
    </row>
    <row r="576" spans="1:9" ht="15.75" x14ac:dyDescent="0.25">
      <c r="A576" s="3" t="s">
        <v>19</v>
      </c>
      <c r="B576" s="8" t="s">
        <v>50</v>
      </c>
      <c r="C576" s="5" t="s">
        <v>75</v>
      </c>
      <c r="D576" s="5" t="s">
        <v>83</v>
      </c>
      <c r="E576" s="5">
        <v>8</v>
      </c>
      <c r="F576" s="5">
        <v>20</v>
      </c>
      <c r="G576" s="6">
        <v>68000</v>
      </c>
      <c r="H576" s="6">
        <v>170000</v>
      </c>
      <c r="I576" s="5" t="s">
        <v>11</v>
      </c>
    </row>
    <row r="577" spans="1:9" ht="15.75" x14ac:dyDescent="0.25">
      <c r="A577" s="3" t="s">
        <v>19</v>
      </c>
      <c r="B577" s="8" t="s">
        <v>50</v>
      </c>
      <c r="C577" s="5" t="s">
        <v>75</v>
      </c>
      <c r="D577" s="5" t="s">
        <v>84</v>
      </c>
      <c r="E577" s="5">
        <v>12</v>
      </c>
      <c r="F577" s="5">
        <v>69</v>
      </c>
      <c r="G577" s="6">
        <v>16800</v>
      </c>
      <c r="H577" s="6">
        <v>96600</v>
      </c>
      <c r="I577" s="5" t="s">
        <v>11</v>
      </c>
    </row>
    <row r="578" spans="1:9" ht="15.75" x14ac:dyDescent="0.25">
      <c r="A578" s="3" t="s">
        <v>19</v>
      </c>
      <c r="B578" s="8" t="s">
        <v>49</v>
      </c>
      <c r="C578" s="5" t="s">
        <v>74</v>
      </c>
      <c r="D578" s="5" t="s">
        <v>82</v>
      </c>
      <c r="E578" s="5">
        <v>40</v>
      </c>
      <c r="F578" s="5">
        <v>59</v>
      </c>
      <c r="G578" s="6">
        <v>50000</v>
      </c>
      <c r="H578" s="6">
        <v>73750</v>
      </c>
      <c r="I578" s="5" t="s">
        <v>3</v>
      </c>
    </row>
    <row r="579" spans="1:9" ht="15.75" x14ac:dyDescent="0.25">
      <c r="A579" s="3" t="s">
        <v>19</v>
      </c>
      <c r="B579" s="8" t="s">
        <v>49</v>
      </c>
      <c r="C579" s="5" t="s">
        <v>74</v>
      </c>
      <c r="D579" s="5" t="s">
        <v>83</v>
      </c>
      <c r="E579" s="5">
        <v>5</v>
      </c>
      <c r="F579" s="5">
        <v>43</v>
      </c>
      <c r="G579" s="6">
        <v>42500</v>
      </c>
      <c r="H579" s="6">
        <v>365500</v>
      </c>
      <c r="I579" s="5" t="s">
        <v>3</v>
      </c>
    </row>
    <row r="580" spans="1:9" ht="15.75" x14ac:dyDescent="0.25">
      <c r="A580" s="3" t="s">
        <v>19</v>
      </c>
      <c r="B580" s="8" t="s">
        <v>49</v>
      </c>
      <c r="C580" s="5" t="s">
        <v>74</v>
      </c>
      <c r="D580" s="5" t="s">
        <v>84</v>
      </c>
      <c r="E580" s="5">
        <v>17</v>
      </c>
      <c r="F580" s="5">
        <v>38</v>
      </c>
      <c r="G580" s="6">
        <v>23800</v>
      </c>
      <c r="H580" s="6">
        <v>53200</v>
      </c>
      <c r="I580" s="5" t="s">
        <v>3</v>
      </c>
    </row>
    <row r="581" spans="1:9" ht="15.75" x14ac:dyDescent="0.25">
      <c r="A581" s="3" t="s">
        <v>19</v>
      </c>
      <c r="B581" s="8" t="s">
        <v>50</v>
      </c>
      <c r="C581" s="5" t="s">
        <v>75</v>
      </c>
      <c r="D581" s="5" t="s">
        <v>82</v>
      </c>
      <c r="E581" s="5">
        <v>34</v>
      </c>
      <c r="F581" s="5">
        <v>40</v>
      </c>
      <c r="G581" s="6">
        <v>42500</v>
      </c>
      <c r="H581" s="6">
        <v>50000</v>
      </c>
      <c r="I581" s="5" t="s">
        <v>3</v>
      </c>
    </row>
    <row r="582" spans="1:9" ht="15.75" x14ac:dyDescent="0.25">
      <c r="A582" s="3" t="s">
        <v>19</v>
      </c>
      <c r="B582" s="8" t="s">
        <v>50</v>
      </c>
      <c r="C582" s="5" t="s">
        <v>75</v>
      </c>
      <c r="D582" s="5" t="s">
        <v>83</v>
      </c>
      <c r="E582" s="5">
        <v>9</v>
      </c>
      <c r="F582" s="5">
        <v>29</v>
      </c>
      <c r="G582" s="6">
        <v>76500</v>
      </c>
      <c r="H582" s="6">
        <v>246500</v>
      </c>
      <c r="I582" s="5" t="s">
        <v>3</v>
      </c>
    </row>
    <row r="583" spans="1:9" ht="15.75" x14ac:dyDescent="0.25">
      <c r="A583" s="3" t="s">
        <v>19</v>
      </c>
      <c r="B583" s="8" t="s">
        <v>50</v>
      </c>
      <c r="C583" s="5" t="s">
        <v>75</v>
      </c>
      <c r="D583" s="5" t="s">
        <v>84</v>
      </c>
      <c r="E583" s="5">
        <v>35</v>
      </c>
      <c r="F583" s="5">
        <v>55</v>
      </c>
      <c r="G583" s="6">
        <v>49000</v>
      </c>
      <c r="H583" s="6">
        <v>77000</v>
      </c>
      <c r="I583" s="5" t="s">
        <v>3</v>
      </c>
    </row>
    <row r="584" spans="1:9" ht="15.75" x14ac:dyDescent="0.25">
      <c r="A584" s="3" t="s">
        <v>19</v>
      </c>
      <c r="B584" s="8" t="s">
        <v>49</v>
      </c>
      <c r="C584" s="5" t="s">
        <v>74</v>
      </c>
      <c r="D584" s="5" t="s">
        <v>82</v>
      </c>
      <c r="E584" s="5">
        <v>9</v>
      </c>
      <c r="F584" s="5">
        <v>88</v>
      </c>
      <c r="G584" s="6">
        <v>11250</v>
      </c>
      <c r="H584" s="6">
        <v>110000</v>
      </c>
      <c r="I584" s="5" t="s">
        <v>5</v>
      </c>
    </row>
    <row r="585" spans="1:9" ht="15.75" x14ac:dyDescent="0.25">
      <c r="A585" s="3" t="s">
        <v>19</v>
      </c>
      <c r="B585" s="8" t="s">
        <v>49</v>
      </c>
      <c r="C585" s="5" t="s">
        <v>74</v>
      </c>
      <c r="D585" s="5" t="s">
        <v>83</v>
      </c>
      <c r="E585" s="5">
        <v>10</v>
      </c>
      <c r="F585" s="5">
        <v>13</v>
      </c>
      <c r="G585" s="6">
        <v>85000</v>
      </c>
      <c r="H585" s="6">
        <v>110500</v>
      </c>
      <c r="I585" s="5" t="s">
        <v>5</v>
      </c>
    </row>
    <row r="586" spans="1:9" ht="15.75" x14ac:dyDescent="0.25">
      <c r="A586" s="3" t="s">
        <v>19</v>
      </c>
      <c r="B586" s="8" t="s">
        <v>49</v>
      </c>
      <c r="C586" s="5" t="s">
        <v>74</v>
      </c>
      <c r="D586" s="5" t="s">
        <v>84</v>
      </c>
      <c r="E586" s="5">
        <v>53</v>
      </c>
      <c r="F586" s="5">
        <v>101</v>
      </c>
      <c r="G586" s="6">
        <v>74200</v>
      </c>
      <c r="H586" s="6">
        <v>141400</v>
      </c>
      <c r="I586" s="5" t="s">
        <v>5</v>
      </c>
    </row>
    <row r="587" spans="1:9" ht="15.75" x14ac:dyDescent="0.25">
      <c r="A587" s="3" t="s">
        <v>19</v>
      </c>
      <c r="B587" s="8" t="s">
        <v>50</v>
      </c>
      <c r="C587" s="5" t="s">
        <v>75</v>
      </c>
      <c r="D587" s="5" t="s">
        <v>82</v>
      </c>
      <c r="E587" s="5">
        <v>39</v>
      </c>
      <c r="F587" s="5">
        <v>64</v>
      </c>
      <c r="G587" s="6">
        <v>48750</v>
      </c>
      <c r="H587" s="6">
        <v>80000</v>
      </c>
      <c r="I587" s="5" t="s">
        <v>5</v>
      </c>
    </row>
    <row r="588" spans="1:9" ht="15.75" x14ac:dyDescent="0.25">
      <c r="A588" s="3" t="s">
        <v>19</v>
      </c>
      <c r="B588" s="8" t="s">
        <v>50</v>
      </c>
      <c r="C588" s="5" t="s">
        <v>75</v>
      </c>
      <c r="D588" s="5" t="s">
        <v>83</v>
      </c>
      <c r="E588" s="5">
        <v>17</v>
      </c>
      <c r="F588" s="5">
        <v>22</v>
      </c>
      <c r="G588" s="6">
        <v>144500</v>
      </c>
      <c r="H588" s="6">
        <v>187000</v>
      </c>
      <c r="I588" s="5" t="s">
        <v>5</v>
      </c>
    </row>
    <row r="589" spans="1:9" ht="15.75" x14ac:dyDescent="0.25">
      <c r="A589" s="3" t="s">
        <v>19</v>
      </c>
      <c r="B589" s="8" t="s">
        <v>50</v>
      </c>
      <c r="C589" s="5" t="s">
        <v>75</v>
      </c>
      <c r="D589" s="5" t="s">
        <v>84</v>
      </c>
      <c r="E589" s="5">
        <v>23</v>
      </c>
      <c r="F589" s="5">
        <v>39</v>
      </c>
      <c r="G589" s="6">
        <v>32200</v>
      </c>
      <c r="H589" s="6">
        <v>54600</v>
      </c>
      <c r="I589" s="5" t="s">
        <v>5</v>
      </c>
    </row>
    <row r="590" spans="1:9" ht="15.75" x14ac:dyDescent="0.25">
      <c r="A590" s="3" t="s">
        <v>19</v>
      </c>
      <c r="B590" s="8" t="s">
        <v>49</v>
      </c>
      <c r="C590" s="5" t="s">
        <v>74</v>
      </c>
      <c r="D590" s="5" t="s">
        <v>82</v>
      </c>
      <c r="E590" s="5">
        <v>26</v>
      </c>
      <c r="F590" s="5">
        <v>42</v>
      </c>
      <c r="G590" s="6">
        <v>32500</v>
      </c>
      <c r="H590" s="6">
        <v>52500</v>
      </c>
      <c r="I590" s="5" t="s">
        <v>4</v>
      </c>
    </row>
    <row r="591" spans="1:9" ht="15.75" x14ac:dyDescent="0.25">
      <c r="A591" s="3" t="s">
        <v>19</v>
      </c>
      <c r="B591" s="8" t="s">
        <v>49</v>
      </c>
      <c r="C591" s="5" t="s">
        <v>74</v>
      </c>
      <c r="D591" s="5" t="s">
        <v>83</v>
      </c>
      <c r="E591" s="5">
        <v>6</v>
      </c>
      <c r="F591" s="5">
        <v>31</v>
      </c>
      <c r="G591" s="6">
        <v>51000</v>
      </c>
      <c r="H591" s="6">
        <v>263500</v>
      </c>
      <c r="I591" s="5" t="s">
        <v>4</v>
      </c>
    </row>
    <row r="592" spans="1:9" ht="15.75" x14ac:dyDescent="0.25">
      <c r="A592" s="3" t="s">
        <v>19</v>
      </c>
      <c r="B592" s="8" t="s">
        <v>49</v>
      </c>
      <c r="C592" s="5" t="s">
        <v>74</v>
      </c>
      <c r="D592" s="5" t="s">
        <v>84</v>
      </c>
      <c r="E592" s="5">
        <v>24</v>
      </c>
      <c r="F592" s="5">
        <v>63</v>
      </c>
      <c r="G592" s="6">
        <v>33600</v>
      </c>
      <c r="H592" s="6">
        <v>88200</v>
      </c>
      <c r="I592" s="5" t="s">
        <v>4</v>
      </c>
    </row>
    <row r="593" spans="1:9" ht="15.75" x14ac:dyDescent="0.25">
      <c r="A593" s="3" t="s">
        <v>19</v>
      </c>
      <c r="B593" s="8" t="s">
        <v>50</v>
      </c>
      <c r="C593" s="5" t="s">
        <v>75</v>
      </c>
      <c r="D593" s="5" t="s">
        <v>82</v>
      </c>
      <c r="E593" s="5">
        <v>7</v>
      </c>
      <c r="F593" s="5">
        <v>10</v>
      </c>
      <c r="G593" s="6">
        <v>8750</v>
      </c>
      <c r="H593" s="6">
        <v>12500</v>
      </c>
      <c r="I593" s="5" t="s">
        <v>4</v>
      </c>
    </row>
    <row r="594" spans="1:9" ht="15.75" x14ac:dyDescent="0.25">
      <c r="A594" s="3" t="s">
        <v>19</v>
      </c>
      <c r="B594" s="8" t="s">
        <v>50</v>
      </c>
      <c r="C594" s="5" t="s">
        <v>75</v>
      </c>
      <c r="D594" s="5" t="s">
        <v>83</v>
      </c>
      <c r="E594" s="5">
        <v>9</v>
      </c>
      <c r="F594" s="5">
        <v>99</v>
      </c>
      <c r="G594" s="6">
        <v>76500</v>
      </c>
      <c r="H594" s="6">
        <v>841500</v>
      </c>
      <c r="I594" s="5" t="s">
        <v>4</v>
      </c>
    </row>
    <row r="595" spans="1:9" ht="15.75" x14ac:dyDescent="0.25">
      <c r="A595" s="3" t="s">
        <v>19</v>
      </c>
      <c r="B595" s="8" t="s">
        <v>50</v>
      </c>
      <c r="C595" s="5" t="s">
        <v>75</v>
      </c>
      <c r="D595" s="5" t="s">
        <v>84</v>
      </c>
      <c r="E595" s="5">
        <v>17</v>
      </c>
      <c r="F595" s="5">
        <v>30</v>
      </c>
      <c r="G595" s="6">
        <v>23800</v>
      </c>
      <c r="H595" s="6">
        <v>42000</v>
      </c>
      <c r="I595" s="5" t="s">
        <v>4</v>
      </c>
    </row>
    <row r="596" spans="1:9" ht="15.75" x14ac:dyDescent="0.25">
      <c r="A596" s="3" t="s">
        <v>19</v>
      </c>
      <c r="B596" s="8" t="s">
        <v>49</v>
      </c>
      <c r="C596" s="5" t="s">
        <v>74</v>
      </c>
      <c r="D596" s="5" t="s">
        <v>82</v>
      </c>
      <c r="E596" s="5">
        <v>10</v>
      </c>
      <c r="F596" s="5">
        <v>64</v>
      </c>
      <c r="G596" s="6">
        <v>12500</v>
      </c>
      <c r="H596" s="6">
        <v>80000</v>
      </c>
      <c r="I596" s="5" t="s">
        <v>1</v>
      </c>
    </row>
    <row r="597" spans="1:9" ht="15.75" x14ac:dyDescent="0.25">
      <c r="A597" s="3" t="s">
        <v>19</v>
      </c>
      <c r="B597" s="8" t="s">
        <v>49</v>
      </c>
      <c r="C597" s="5" t="s">
        <v>74</v>
      </c>
      <c r="D597" s="5" t="s">
        <v>83</v>
      </c>
      <c r="E597" s="5">
        <v>0</v>
      </c>
      <c r="F597" s="5">
        <v>2</v>
      </c>
      <c r="G597" s="6">
        <v>0</v>
      </c>
      <c r="H597" s="6">
        <v>17000</v>
      </c>
      <c r="I597" s="5" t="s">
        <v>1</v>
      </c>
    </row>
    <row r="598" spans="1:9" ht="15.75" x14ac:dyDescent="0.25">
      <c r="A598" s="3" t="s">
        <v>19</v>
      </c>
      <c r="B598" s="8" t="s">
        <v>49</v>
      </c>
      <c r="C598" s="5" t="s">
        <v>74</v>
      </c>
      <c r="D598" s="5" t="s">
        <v>84</v>
      </c>
      <c r="E598" s="5">
        <v>23</v>
      </c>
      <c r="F598" s="5">
        <v>34</v>
      </c>
      <c r="G598" s="6">
        <v>32200</v>
      </c>
      <c r="H598" s="6">
        <v>47600</v>
      </c>
      <c r="I598" s="5" t="s">
        <v>1</v>
      </c>
    </row>
    <row r="599" spans="1:9" ht="15.75" x14ac:dyDescent="0.25">
      <c r="A599" s="3" t="s">
        <v>19</v>
      </c>
      <c r="B599" s="8" t="s">
        <v>50</v>
      </c>
      <c r="C599" s="5" t="s">
        <v>75</v>
      </c>
      <c r="D599" s="5" t="s">
        <v>82</v>
      </c>
      <c r="E599" s="5">
        <v>3</v>
      </c>
      <c r="F599" s="5">
        <v>26</v>
      </c>
      <c r="G599" s="6">
        <v>3750</v>
      </c>
      <c r="H599" s="6">
        <v>32500</v>
      </c>
      <c r="I599" s="5" t="s">
        <v>1</v>
      </c>
    </row>
    <row r="600" spans="1:9" ht="15.75" x14ac:dyDescent="0.25">
      <c r="A600" s="3" t="s">
        <v>19</v>
      </c>
      <c r="B600" s="8" t="s">
        <v>50</v>
      </c>
      <c r="C600" s="5" t="s">
        <v>75</v>
      </c>
      <c r="D600" s="5" t="s">
        <v>83</v>
      </c>
      <c r="E600" s="5">
        <v>30</v>
      </c>
      <c r="F600" s="5">
        <v>33</v>
      </c>
      <c r="G600" s="6">
        <v>255000</v>
      </c>
      <c r="H600" s="6">
        <v>280500</v>
      </c>
      <c r="I600" s="5" t="s">
        <v>1</v>
      </c>
    </row>
    <row r="601" spans="1:9" ht="15.75" x14ac:dyDescent="0.25">
      <c r="A601" s="3" t="s">
        <v>19</v>
      </c>
      <c r="B601" s="8" t="s">
        <v>50</v>
      </c>
      <c r="C601" s="5" t="s">
        <v>75</v>
      </c>
      <c r="D601" s="5" t="s">
        <v>84</v>
      </c>
      <c r="E601" s="5">
        <v>63</v>
      </c>
      <c r="F601" s="5">
        <v>65</v>
      </c>
      <c r="G601" s="6">
        <v>88200</v>
      </c>
      <c r="H601" s="6">
        <v>91000</v>
      </c>
      <c r="I601" s="5" t="s">
        <v>1</v>
      </c>
    </row>
    <row r="602" spans="1:9" ht="15.75" x14ac:dyDescent="0.25">
      <c r="A602" s="3" t="s">
        <v>19</v>
      </c>
      <c r="B602" s="8" t="s">
        <v>49</v>
      </c>
      <c r="C602" s="5" t="s">
        <v>74</v>
      </c>
      <c r="D602" s="5" t="s">
        <v>82</v>
      </c>
      <c r="E602" s="5">
        <v>13</v>
      </c>
      <c r="F602" s="5">
        <v>17</v>
      </c>
      <c r="G602" s="6">
        <v>16250</v>
      </c>
      <c r="H602" s="6">
        <v>21250</v>
      </c>
      <c r="I602" s="5" t="s">
        <v>2</v>
      </c>
    </row>
    <row r="603" spans="1:9" ht="15.75" x14ac:dyDescent="0.25">
      <c r="A603" s="3" t="s">
        <v>19</v>
      </c>
      <c r="B603" s="8" t="s">
        <v>49</v>
      </c>
      <c r="C603" s="5" t="s">
        <v>74</v>
      </c>
      <c r="D603" s="5" t="s">
        <v>83</v>
      </c>
      <c r="E603" s="5">
        <v>31</v>
      </c>
      <c r="F603" s="5">
        <v>111</v>
      </c>
      <c r="G603" s="6">
        <v>263500</v>
      </c>
      <c r="H603" s="6">
        <v>943500</v>
      </c>
      <c r="I603" s="5" t="s">
        <v>2</v>
      </c>
    </row>
    <row r="604" spans="1:9" ht="15.75" x14ac:dyDescent="0.25">
      <c r="A604" s="3" t="s">
        <v>19</v>
      </c>
      <c r="B604" s="8" t="s">
        <v>49</v>
      </c>
      <c r="C604" s="5" t="s">
        <v>74</v>
      </c>
      <c r="D604" s="5" t="s">
        <v>84</v>
      </c>
      <c r="E604" s="5">
        <v>48</v>
      </c>
      <c r="F604" s="5">
        <v>80</v>
      </c>
      <c r="G604" s="6">
        <v>67200</v>
      </c>
      <c r="H604" s="6">
        <v>112000</v>
      </c>
      <c r="I604" s="5" t="s">
        <v>2</v>
      </c>
    </row>
    <row r="605" spans="1:9" ht="15.75" x14ac:dyDescent="0.25">
      <c r="A605" s="3" t="s">
        <v>19</v>
      </c>
      <c r="B605" s="8" t="s">
        <v>50</v>
      </c>
      <c r="C605" s="5" t="s">
        <v>75</v>
      </c>
      <c r="D605" s="5" t="s">
        <v>82</v>
      </c>
      <c r="E605" s="5">
        <v>22</v>
      </c>
      <c r="F605" s="5">
        <v>95</v>
      </c>
      <c r="G605" s="6">
        <v>27500</v>
      </c>
      <c r="H605" s="6">
        <v>118750</v>
      </c>
      <c r="I605" s="5" t="s">
        <v>2</v>
      </c>
    </row>
    <row r="606" spans="1:9" ht="15.75" x14ac:dyDescent="0.25">
      <c r="A606" s="3" t="s">
        <v>19</v>
      </c>
      <c r="B606" s="8" t="s">
        <v>50</v>
      </c>
      <c r="C606" s="5" t="s">
        <v>75</v>
      </c>
      <c r="D606" s="5" t="s">
        <v>83</v>
      </c>
      <c r="E606" s="5">
        <v>8</v>
      </c>
      <c r="F606" s="5">
        <v>31</v>
      </c>
      <c r="G606" s="6">
        <v>68000</v>
      </c>
      <c r="H606" s="6">
        <v>263500</v>
      </c>
      <c r="I606" s="5" t="s">
        <v>2</v>
      </c>
    </row>
    <row r="607" spans="1:9" ht="15.75" x14ac:dyDescent="0.25">
      <c r="A607" s="3" t="s">
        <v>19</v>
      </c>
      <c r="B607" s="8" t="s">
        <v>50</v>
      </c>
      <c r="C607" s="5" t="s">
        <v>75</v>
      </c>
      <c r="D607" s="5" t="s">
        <v>84</v>
      </c>
      <c r="E607" s="5">
        <v>5</v>
      </c>
      <c r="F607" s="5">
        <v>11</v>
      </c>
      <c r="G607" s="6">
        <v>7000</v>
      </c>
      <c r="H607" s="6">
        <v>15400</v>
      </c>
      <c r="I607" s="5" t="s">
        <v>2</v>
      </c>
    </row>
    <row r="608" spans="1:9" ht="15.75" x14ac:dyDescent="0.25">
      <c r="A608" s="3" t="s">
        <v>19</v>
      </c>
      <c r="B608" s="8" t="s">
        <v>49</v>
      </c>
      <c r="C608" s="5" t="s">
        <v>74</v>
      </c>
      <c r="D608" s="5" t="s">
        <v>82</v>
      </c>
      <c r="E608" s="5">
        <v>24</v>
      </c>
      <c r="F608" s="5">
        <v>27</v>
      </c>
      <c r="G608" s="6">
        <v>30000</v>
      </c>
      <c r="H608" s="6">
        <v>33750</v>
      </c>
      <c r="I608" s="5" t="s">
        <v>7</v>
      </c>
    </row>
    <row r="609" spans="1:9" ht="15.75" x14ac:dyDescent="0.25">
      <c r="A609" s="3" t="s">
        <v>19</v>
      </c>
      <c r="B609" s="8" t="s">
        <v>49</v>
      </c>
      <c r="C609" s="5" t="s">
        <v>74</v>
      </c>
      <c r="D609" s="5" t="s">
        <v>83</v>
      </c>
      <c r="E609" s="5">
        <v>78</v>
      </c>
      <c r="F609" s="5">
        <v>100</v>
      </c>
      <c r="G609" s="6">
        <v>663000</v>
      </c>
      <c r="H609" s="6">
        <v>850000</v>
      </c>
      <c r="I609" s="5" t="s">
        <v>7</v>
      </c>
    </row>
    <row r="610" spans="1:9" ht="15.75" x14ac:dyDescent="0.25">
      <c r="A610" s="3" t="s">
        <v>19</v>
      </c>
      <c r="B610" s="8" t="s">
        <v>49</v>
      </c>
      <c r="C610" s="5" t="s">
        <v>74</v>
      </c>
      <c r="D610" s="5" t="s">
        <v>84</v>
      </c>
      <c r="E610" s="5">
        <v>11</v>
      </c>
      <c r="F610" s="5">
        <v>38</v>
      </c>
      <c r="G610" s="6">
        <v>15400</v>
      </c>
      <c r="H610" s="6">
        <v>53200</v>
      </c>
      <c r="I610" s="5" t="s">
        <v>7</v>
      </c>
    </row>
    <row r="611" spans="1:9" ht="15.75" x14ac:dyDescent="0.25">
      <c r="A611" s="3" t="s">
        <v>19</v>
      </c>
      <c r="B611" s="8" t="s">
        <v>50</v>
      </c>
      <c r="C611" s="5" t="s">
        <v>75</v>
      </c>
      <c r="D611" s="5" t="s">
        <v>82</v>
      </c>
      <c r="E611" s="5">
        <v>40</v>
      </c>
      <c r="F611" s="5">
        <v>67</v>
      </c>
      <c r="G611" s="6">
        <v>50000</v>
      </c>
      <c r="H611" s="6">
        <v>83750</v>
      </c>
      <c r="I611" s="5" t="s">
        <v>7</v>
      </c>
    </row>
    <row r="612" spans="1:9" ht="15.75" x14ac:dyDescent="0.25">
      <c r="A612" s="3" t="s">
        <v>19</v>
      </c>
      <c r="B612" s="8" t="s">
        <v>50</v>
      </c>
      <c r="C612" s="5" t="s">
        <v>75</v>
      </c>
      <c r="D612" s="5" t="s">
        <v>83</v>
      </c>
      <c r="E612" s="5">
        <v>37</v>
      </c>
      <c r="F612" s="5">
        <v>57</v>
      </c>
      <c r="G612" s="6">
        <v>314500</v>
      </c>
      <c r="H612" s="6">
        <v>484500</v>
      </c>
      <c r="I612" s="5" t="s">
        <v>7</v>
      </c>
    </row>
    <row r="613" spans="1:9" ht="15.75" x14ac:dyDescent="0.25">
      <c r="A613" s="3" t="s">
        <v>19</v>
      </c>
      <c r="B613" s="8" t="s">
        <v>50</v>
      </c>
      <c r="C613" s="5" t="s">
        <v>75</v>
      </c>
      <c r="D613" s="5" t="s">
        <v>84</v>
      </c>
      <c r="E613" s="5">
        <v>7</v>
      </c>
      <c r="F613" s="5">
        <v>12</v>
      </c>
      <c r="G613" s="6">
        <v>9800</v>
      </c>
      <c r="H613" s="6">
        <v>16800</v>
      </c>
      <c r="I613" s="5" t="s">
        <v>7</v>
      </c>
    </row>
    <row r="614" spans="1:9" ht="15.75" x14ac:dyDescent="0.25">
      <c r="A614" s="3" t="s">
        <v>20</v>
      </c>
      <c r="B614" s="8" t="s">
        <v>51</v>
      </c>
      <c r="C614" s="5" t="s">
        <v>76</v>
      </c>
      <c r="D614" s="5" t="s">
        <v>82</v>
      </c>
      <c r="E614" s="5">
        <v>6</v>
      </c>
      <c r="F614" s="5">
        <v>56</v>
      </c>
      <c r="G614" s="6">
        <v>7500</v>
      </c>
      <c r="H614" s="6">
        <v>70000</v>
      </c>
      <c r="I614" s="5" t="s">
        <v>8</v>
      </c>
    </row>
    <row r="615" spans="1:9" ht="15.75" x14ac:dyDescent="0.25">
      <c r="A615" s="3" t="s">
        <v>20</v>
      </c>
      <c r="B615" s="8" t="s">
        <v>51</v>
      </c>
      <c r="C615" s="5" t="s">
        <v>76</v>
      </c>
      <c r="D615" s="5" t="s">
        <v>83</v>
      </c>
      <c r="E615" s="5">
        <v>7</v>
      </c>
      <c r="F615" s="5">
        <v>12</v>
      </c>
      <c r="G615" s="6">
        <v>59500</v>
      </c>
      <c r="H615" s="6">
        <v>102000</v>
      </c>
      <c r="I615" s="5" t="s">
        <v>8</v>
      </c>
    </row>
    <row r="616" spans="1:9" ht="15.75" x14ac:dyDescent="0.25">
      <c r="A616" s="3" t="s">
        <v>20</v>
      </c>
      <c r="B616" s="8" t="s">
        <v>51</v>
      </c>
      <c r="C616" s="5" t="s">
        <v>76</v>
      </c>
      <c r="D616" s="5" t="s">
        <v>84</v>
      </c>
      <c r="E616" s="5">
        <v>11</v>
      </c>
      <c r="F616" s="5">
        <v>70</v>
      </c>
      <c r="G616" s="6">
        <v>15400</v>
      </c>
      <c r="H616" s="6">
        <v>98000</v>
      </c>
      <c r="I616" s="5" t="s">
        <v>8</v>
      </c>
    </row>
    <row r="617" spans="1:9" ht="15.75" x14ac:dyDescent="0.25">
      <c r="A617" s="3" t="s">
        <v>20</v>
      </c>
      <c r="B617" s="8" t="s">
        <v>51</v>
      </c>
      <c r="C617" s="5" t="s">
        <v>76</v>
      </c>
      <c r="D617" s="5" t="s">
        <v>82</v>
      </c>
      <c r="E617" s="5">
        <v>8</v>
      </c>
      <c r="F617" s="5">
        <v>10</v>
      </c>
      <c r="G617" s="6">
        <v>10000</v>
      </c>
      <c r="H617" s="6">
        <v>12500</v>
      </c>
      <c r="I617" s="5" t="s">
        <v>12</v>
      </c>
    </row>
    <row r="618" spans="1:9" ht="15.75" x14ac:dyDescent="0.25">
      <c r="A618" s="3" t="s">
        <v>20</v>
      </c>
      <c r="B618" s="8" t="s">
        <v>51</v>
      </c>
      <c r="C618" s="5" t="s">
        <v>76</v>
      </c>
      <c r="D618" s="5" t="s">
        <v>83</v>
      </c>
      <c r="E618" s="5">
        <v>38</v>
      </c>
      <c r="F618" s="5">
        <v>40</v>
      </c>
      <c r="G618" s="6">
        <v>323000</v>
      </c>
      <c r="H618" s="6">
        <v>340000</v>
      </c>
      <c r="I618" s="5" t="s">
        <v>12</v>
      </c>
    </row>
    <row r="619" spans="1:9" ht="15.75" x14ac:dyDescent="0.25">
      <c r="A619" s="3" t="s">
        <v>20</v>
      </c>
      <c r="B619" s="8" t="s">
        <v>51</v>
      </c>
      <c r="C619" s="5" t="s">
        <v>76</v>
      </c>
      <c r="D619" s="5" t="s">
        <v>84</v>
      </c>
      <c r="E619" s="5">
        <v>6</v>
      </c>
      <c r="F619" s="5">
        <v>8</v>
      </c>
      <c r="G619" s="6">
        <v>8400</v>
      </c>
      <c r="H619" s="6">
        <v>11200</v>
      </c>
      <c r="I619" s="5" t="s">
        <v>12</v>
      </c>
    </row>
    <row r="620" spans="1:9" ht="15.75" x14ac:dyDescent="0.25">
      <c r="A620" s="3" t="s">
        <v>20</v>
      </c>
      <c r="B620" s="8" t="s">
        <v>51</v>
      </c>
      <c r="C620" s="5" t="s">
        <v>76</v>
      </c>
      <c r="D620" s="5" t="s">
        <v>82</v>
      </c>
      <c r="E620" s="5">
        <v>35</v>
      </c>
      <c r="F620" s="5">
        <v>73</v>
      </c>
      <c r="G620" s="6">
        <v>43750</v>
      </c>
      <c r="H620" s="6">
        <v>91250</v>
      </c>
      <c r="I620" s="5" t="s">
        <v>10</v>
      </c>
    </row>
    <row r="621" spans="1:9" ht="15.75" x14ac:dyDescent="0.25">
      <c r="A621" s="3" t="s">
        <v>20</v>
      </c>
      <c r="B621" s="8" t="s">
        <v>51</v>
      </c>
      <c r="C621" s="5" t="s">
        <v>76</v>
      </c>
      <c r="D621" s="5" t="s">
        <v>83</v>
      </c>
      <c r="E621" s="5">
        <v>4</v>
      </c>
      <c r="F621" s="5">
        <v>44</v>
      </c>
      <c r="G621" s="6">
        <v>34000</v>
      </c>
      <c r="H621" s="6">
        <v>374000</v>
      </c>
      <c r="I621" s="5" t="s">
        <v>10</v>
      </c>
    </row>
    <row r="622" spans="1:9" ht="15.75" x14ac:dyDescent="0.25">
      <c r="A622" s="3" t="s">
        <v>20</v>
      </c>
      <c r="B622" s="8" t="s">
        <v>51</v>
      </c>
      <c r="C622" s="5" t="s">
        <v>76</v>
      </c>
      <c r="D622" s="5" t="s">
        <v>84</v>
      </c>
      <c r="E622" s="5">
        <v>2</v>
      </c>
      <c r="F622" s="5">
        <v>13</v>
      </c>
      <c r="G622" s="6">
        <v>2800</v>
      </c>
      <c r="H622" s="6">
        <v>18200</v>
      </c>
      <c r="I622" s="5" t="s">
        <v>10</v>
      </c>
    </row>
    <row r="623" spans="1:9" ht="15.75" x14ac:dyDescent="0.25">
      <c r="A623" s="3" t="s">
        <v>20</v>
      </c>
      <c r="B623" s="8" t="s">
        <v>51</v>
      </c>
      <c r="C623" s="5" t="s">
        <v>76</v>
      </c>
      <c r="D623" s="5" t="s">
        <v>82</v>
      </c>
      <c r="E623" s="5">
        <v>27</v>
      </c>
      <c r="F623" s="5">
        <v>32</v>
      </c>
      <c r="G623" s="6">
        <v>33750</v>
      </c>
      <c r="H623" s="6">
        <v>40000</v>
      </c>
      <c r="I623" s="5" t="s">
        <v>9</v>
      </c>
    </row>
    <row r="624" spans="1:9" ht="15.75" x14ac:dyDescent="0.25">
      <c r="A624" s="3" t="s">
        <v>20</v>
      </c>
      <c r="B624" s="8" t="s">
        <v>51</v>
      </c>
      <c r="C624" s="5" t="s">
        <v>76</v>
      </c>
      <c r="D624" s="5" t="s">
        <v>83</v>
      </c>
      <c r="E624" s="5">
        <v>18</v>
      </c>
      <c r="F624" s="5">
        <v>67</v>
      </c>
      <c r="G624" s="6">
        <v>153000</v>
      </c>
      <c r="H624" s="6">
        <v>569500</v>
      </c>
      <c r="I624" s="5" t="s">
        <v>9</v>
      </c>
    </row>
    <row r="625" spans="1:9" ht="15.75" x14ac:dyDescent="0.25">
      <c r="A625" s="3" t="s">
        <v>20</v>
      </c>
      <c r="B625" s="8" t="s">
        <v>51</v>
      </c>
      <c r="C625" s="5" t="s">
        <v>76</v>
      </c>
      <c r="D625" s="5" t="s">
        <v>84</v>
      </c>
      <c r="E625" s="5">
        <v>16</v>
      </c>
      <c r="F625" s="5">
        <v>19</v>
      </c>
      <c r="G625" s="6">
        <v>22400</v>
      </c>
      <c r="H625" s="6">
        <v>26600</v>
      </c>
      <c r="I625" s="5" t="s">
        <v>9</v>
      </c>
    </row>
    <row r="626" spans="1:9" ht="15.75" x14ac:dyDescent="0.25">
      <c r="A626" s="3" t="s">
        <v>20</v>
      </c>
      <c r="B626" s="8" t="s">
        <v>51</v>
      </c>
      <c r="C626" s="5" t="s">
        <v>76</v>
      </c>
      <c r="D626" s="5" t="s">
        <v>82</v>
      </c>
      <c r="E626" s="5">
        <v>10</v>
      </c>
      <c r="F626" s="5">
        <v>35</v>
      </c>
      <c r="G626" s="6">
        <v>12500</v>
      </c>
      <c r="H626" s="6">
        <v>43750</v>
      </c>
      <c r="I626" s="5" t="s">
        <v>6</v>
      </c>
    </row>
    <row r="627" spans="1:9" ht="15.75" x14ac:dyDescent="0.25">
      <c r="A627" s="3" t="s">
        <v>20</v>
      </c>
      <c r="B627" s="8" t="s">
        <v>51</v>
      </c>
      <c r="C627" s="5" t="s">
        <v>76</v>
      </c>
      <c r="D627" s="5" t="s">
        <v>83</v>
      </c>
      <c r="E627" s="5">
        <v>1</v>
      </c>
      <c r="F627" s="5">
        <v>14</v>
      </c>
      <c r="G627" s="6">
        <v>8500</v>
      </c>
      <c r="H627" s="6">
        <v>119000</v>
      </c>
      <c r="I627" s="5" t="s">
        <v>6</v>
      </c>
    </row>
    <row r="628" spans="1:9" ht="15.75" x14ac:dyDescent="0.25">
      <c r="A628" s="3" t="s">
        <v>20</v>
      </c>
      <c r="B628" s="8" t="s">
        <v>51</v>
      </c>
      <c r="C628" s="5" t="s">
        <v>76</v>
      </c>
      <c r="D628" s="5" t="s">
        <v>84</v>
      </c>
      <c r="E628" s="5">
        <v>11</v>
      </c>
      <c r="F628" s="5">
        <v>15</v>
      </c>
      <c r="G628" s="6">
        <v>15400</v>
      </c>
      <c r="H628" s="6">
        <v>21000</v>
      </c>
      <c r="I628" s="5" t="s">
        <v>6</v>
      </c>
    </row>
    <row r="629" spans="1:9" ht="15.75" x14ac:dyDescent="0.25">
      <c r="A629" s="3" t="s">
        <v>20</v>
      </c>
      <c r="B629" s="8" t="s">
        <v>51</v>
      </c>
      <c r="C629" s="5" t="s">
        <v>76</v>
      </c>
      <c r="D629" s="5" t="s">
        <v>82</v>
      </c>
      <c r="E629" s="5">
        <v>21</v>
      </c>
      <c r="F629" s="5">
        <v>24</v>
      </c>
      <c r="G629" s="6">
        <v>26250</v>
      </c>
      <c r="H629" s="6">
        <v>30000</v>
      </c>
      <c r="I629" s="5" t="s">
        <v>11</v>
      </c>
    </row>
    <row r="630" spans="1:9" ht="15.75" x14ac:dyDescent="0.25">
      <c r="A630" s="3" t="s">
        <v>20</v>
      </c>
      <c r="B630" s="8" t="s">
        <v>51</v>
      </c>
      <c r="C630" s="5" t="s">
        <v>76</v>
      </c>
      <c r="D630" s="5" t="s">
        <v>83</v>
      </c>
      <c r="E630" s="5">
        <v>3</v>
      </c>
      <c r="F630" s="5">
        <v>13</v>
      </c>
      <c r="G630" s="6">
        <v>25500</v>
      </c>
      <c r="H630" s="6">
        <v>110500</v>
      </c>
      <c r="I630" s="5" t="s">
        <v>11</v>
      </c>
    </row>
    <row r="631" spans="1:9" ht="15.75" x14ac:dyDescent="0.25">
      <c r="A631" s="3" t="s">
        <v>20</v>
      </c>
      <c r="B631" s="8" t="s">
        <v>51</v>
      </c>
      <c r="C631" s="5" t="s">
        <v>76</v>
      </c>
      <c r="D631" s="5" t="s">
        <v>84</v>
      </c>
      <c r="E631" s="5">
        <v>97</v>
      </c>
      <c r="F631" s="5">
        <v>100</v>
      </c>
      <c r="G631" s="6">
        <v>135800</v>
      </c>
      <c r="H631" s="6">
        <v>140000</v>
      </c>
      <c r="I631" s="5" t="s">
        <v>11</v>
      </c>
    </row>
    <row r="632" spans="1:9" ht="15.75" x14ac:dyDescent="0.25">
      <c r="A632" s="3" t="s">
        <v>20</v>
      </c>
      <c r="B632" s="8" t="s">
        <v>51</v>
      </c>
      <c r="C632" s="5" t="s">
        <v>76</v>
      </c>
      <c r="D632" s="5" t="s">
        <v>82</v>
      </c>
      <c r="E632" s="5">
        <v>13</v>
      </c>
      <c r="F632" s="5">
        <v>14</v>
      </c>
      <c r="G632" s="6">
        <v>16250</v>
      </c>
      <c r="H632" s="6">
        <v>17500</v>
      </c>
      <c r="I632" s="5" t="s">
        <v>3</v>
      </c>
    </row>
    <row r="633" spans="1:9" ht="15.75" x14ac:dyDescent="0.25">
      <c r="A633" s="3" t="s">
        <v>20</v>
      </c>
      <c r="B633" s="8" t="s">
        <v>51</v>
      </c>
      <c r="C633" s="5" t="s">
        <v>76</v>
      </c>
      <c r="D633" s="5" t="s">
        <v>83</v>
      </c>
      <c r="E633" s="5">
        <v>16</v>
      </c>
      <c r="F633" s="5">
        <v>35</v>
      </c>
      <c r="G633" s="6">
        <v>136000</v>
      </c>
      <c r="H633" s="6">
        <v>297500</v>
      </c>
      <c r="I633" s="5" t="s">
        <v>3</v>
      </c>
    </row>
    <row r="634" spans="1:9" ht="15.75" x14ac:dyDescent="0.25">
      <c r="A634" s="3" t="s">
        <v>20</v>
      </c>
      <c r="B634" s="8" t="s">
        <v>51</v>
      </c>
      <c r="C634" s="5" t="s">
        <v>76</v>
      </c>
      <c r="D634" s="5" t="s">
        <v>84</v>
      </c>
      <c r="E634" s="5">
        <v>3</v>
      </c>
      <c r="F634" s="5">
        <v>9</v>
      </c>
      <c r="G634" s="6">
        <v>4200</v>
      </c>
      <c r="H634" s="6">
        <v>12600</v>
      </c>
      <c r="I634" s="5" t="s">
        <v>3</v>
      </c>
    </row>
    <row r="635" spans="1:9" ht="15.75" x14ac:dyDescent="0.25">
      <c r="A635" s="3" t="s">
        <v>20</v>
      </c>
      <c r="B635" s="8" t="s">
        <v>51</v>
      </c>
      <c r="C635" s="5" t="s">
        <v>76</v>
      </c>
      <c r="D635" s="5" t="s">
        <v>82</v>
      </c>
      <c r="E635" s="5">
        <v>5</v>
      </c>
      <c r="F635" s="5">
        <v>29</v>
      </c>
      <c r="G635" s="6">
        <v>6250</v>
      </c>
      <c r="H635" s="6">
        <v>36250</v>
      </c>
      <c r="I635" s="5" t="s">
        <v>5</v>
      </c>
    </row>
    <row r="636" spans="1:9" ht="15.75" x14ac:dyDescent="0.25">
      <c r="A636" s="3" t="s">
        <v>20</v>
      </c>
      <c r="B636" s="8" t="s">
        <v>51</v>
      </c>
      <c r="C636" s="5" t="s">
        <v>76</v>
      </c>
      <c r="D636" s="5" t="s">
        <v>83</v>
      </c>
      <c r="E636" s="5">
        <v>5</v>
      </c>
      <c r="F636" s="5">
        <v>53</v>
      </c>
      <c r="G636" s="6">
        <v>42500</v>
      </c>
      <c r="H636" s="6">
        <v>450500</v>
      </c>
      <c r="I636" s="5" t="s">
        <v>5</v>
      </c>
    </row>
    <row r="637" spans="1:9" ht="15.75" x14ac:dyDescent="0.25">
      <c r="A637" s="3" t="s">
        <v>20</v>
      </c>
      <c r="B637" s="8" t="s">
        <v>51</v>
      </c>
      <c r="C637" s="5" t="s">
        <v>76</v>
      </c>
      <c r="D637" s="5" t="s">
        <v>84</v>
      </c>
      <c r="E637" s="5">
        <v>21</v>
      </c>
      <c r="F637" s="5">
        <v>21</v>
      </c>
      <c r="G637" s="6">
        <v>29400</v>
      </c>
      <c r="H637" s="6">
        <v>29400</v>
      </c>
      <c r="I637" s="5" t="s">
        <v>5</v>
      </c>
    </row>
    <row r="638" spans="1:9" ht="15.75" x14ac:dyDescent="0.25">
      <c r="A638" s="3" t="s">
        <v>20</v>
      </c>
      <c r="B638" s="8" t="s">
        <v>51</v>
      </c>
      <c r="C638" s="5" t="s">
        <v>76</v>
      </c>
      <c r="D638" s="5" t="s">
        <v>82</v>
      </c>
      <c r="E638" s="5">
        <v>54</v>
      </c>
      <c r="F638" s="5">
        <v>61</v>
      </c>
      <c r="G638" s="6">
        <v>67500</v>
      </c>
      <c r="H638" s="6">
        <v>76250</v>
      </c>
      <c r="I638" s="5" t="s">
        <v>4</v>
      </c>
    </row>
    <row r="639" spans="1:9" ht="15.75" x14ac:dyDescent="0.25">
      <c r="A639" s="3" t="s">
        <v>20</v>
      </c>
      <c r="B639" s="8" t="s">
        <v>51</v>
      </c>
      <c r="C639" s="5" t="s">
        <v>76</v>
      </c>
      <c r="D639" s="5" t="s">
        <v>83</v>
      </c>
      <c r="E639" s="5">
        <v>4</v>
      </c>
      <c r="F639" s="5">
        <v>31</v>
      </c>
      <c r="G639" s="6">
        <v>34000</v>
      </c>
      <c r="H639" s="6">
        <v>263500</v>
      </c>
      <c r="I639" s="5" t="s">
        <v>4</v>
      </c>
    </row>
    <row r="640" spans="1:9" ht="15.75" x14ac:dyDescent="0.25">
      <c r="A640" s="3" t="s">
        <v>20</v>
      </c>
      <c r="B640" s="8" t="s">
        <v>51</v>
      </c>
      <c r="C640" s="5" t="s">
        <v>76</v>
      </c>
      <c r="D640" s="5" t="s">
        <v>84</v>
      </c>
      <c r="E640" s="5">
        <v>5</v>
      </c>
      <c r="F640" s="5">
        <v>51</v>
      </c>
      <c r="G640" s="6">
        <v>7000</v>
      </c>
      <c r="H640" s="6">
        <v>71400</v>
      </c>
      <c r="I640" s="5" t="s">
        <v>4</v>
      </c>
    </row>
    <row r="641" spans="1:9" ht="15.75" x14ac:dyDescent="0.25">
      <c r="A641" s="3" t="s">
        <v>20</v>
      </c>
      <c r="B641" s="8" t="s">
        <v>51</v>
      </c>
      <c r="C641" s="5" t="s">
        <v>76</v>
      </c>
      <c r="D641" s="5" t="s">
        <v>82</v>
      </c>
      <c r="E641" s="5">
        <v>72</v>
      </c>
      <c r="F641" s="5">
        <v>123</v>
      </c>
      <c r="G641" s="6">
        <v>90000</v>
      </c>
      <c r="H641" s="6">
        <v>153750</v>
      </c>
      <c r="I641" s="5" t="s">
        <v>1</v>
      </c>
    </row>
    <row r="642" spans="1:9" ht="15.75" x14ac:dyDescent="0.25">
      <c r="A642" s="3" t="s">
        <v>20</v>
      </c>
      <c r="B642" s="8" t="s">
        <v>51</v>
      </c>
      <c r="C642" s="5" t="s">
        <v>76</v>
      </c>
      <c r="D642" s="5" t="s">
        <v>83</v>
      </c>
      <c r="E642" s="5">
        <v>18</v>
      </c>
      <c r="F642" s="5">
        <v>25</v>
      </c>
      <c r="G642" s="6">
        <v>153000</v>
      </c>
      <c r="H642" s="6">
        <v>212500</v>
      </c>
      <c r="I642" s="5" t="s">
        <v>1</v>
      </c>
    </row>
    <row r="643" spans="1:9" ht="15.75" x14ac:dyDescent="0.25">
      <c r="A643" s="3" t="s">
        <v>20</v>
      </c>
      <c r="B643" s="8" t="s">
        <v>51</v>
      </c>
      <c r="C643" s="5" t="s">
        <v>76</v>
      </c>
      <c r="D643" s="5" t="s">
        <v>84</v>
      </c>
      <c r="E643" s="5">
        <v>1</v>
      </c>
      <c r="F643" s="5">
        <v>3</v>
      </c>
      <c r="G643" s="6">
        <v>1400</v>
      </c>
      <c r="H643" s="6">
        <v>4200</v>
      </c>
      <c r="I643" s="5" t="s">
        <v>1</v>
      </c>
    </row>
    <row r="644" spans="1:9" ht="15.75" x14ac:dyDescent="0.25">
      <c r="A644" s="3" t="s">
        <v>20</v>
      </c>
      <c r="B644" s="8" t="s">
        <v>51</v>
      </c>
      <c r="C644" s="5" t="s">
        <v>76</v>
      </c>
      <c r="D644" s="5" t="s">
        <v>82</v>
      </c>
      <c r="E644" s="5">
        <v>25</v>
      </c>
      <c r="F644" s="5">
        <v>32</v>
      </c>
      <c r="G644" s="6">
        <v>31250</v>
      </c>
      <c r="H644" s="6">
        <v>40000</v>
      </c>
      <c r="I644" s="5" t="s">
        <v>2</v>
      </c>
    </row>
    <row r="645" spans="1:9" ht="15.75" x14ac:dyDescent="0.25">
      <c r="A645" s="3" t="s">
        <v>20</v>
      </c>
      <c r="B645" s="8" t="s">
        <v>51</v>
      </c>
      <c r="C645" s="5" t="s">
        <v>76</v>
      </c>
      <c r="D645" s="5" t="s">
        <v>83</v>
      </c>
      <c r="E645" s="5">
        <v>11</v>
      </c>
      <c r="F645" s="5">
        <v>27</v>
      </c>
      <c r="G645" s="6">
        <v>93500</v>
      </c>
      <c r="H645" s="6">
        <v>229500</v>
      </c>
      <c r="I645" s="5" t="s">
        <v>2</v>
      </c>
    </row>
    <row r="646" spans="1:9" ht="15.75" x14ac:dyDescent="0.25">
      <c r="A646" s="3" t="s">
        <v>20</v>
      </c>
      <c r="B646" s="8" t="s">
        <v>51</v>
      </c>
      <c r="C646" s="5" t="s">
        <v>76</v>
      </c>
      <c r="D646" s="5" t="s">
        <v>84</v>
      </c>
      <c r="E646" s="5">
        <v>4</v>
      </c>
      <c r="F646" s="5">
        <v>9</v>
      </c>
      <c r="G646" s="6">
        <v>5600</v>
      </c>
      <c r="H646" s="6">
        <v>12600</v>
      </c>
      <c r="I646" s="5" t="s">
        <v>2</v>
      </c>
    </row>
    <row r="647" spans="1:9" ht="15.75" x14ac:dyDescent="0.25">
      <c r="A647" s="3" t="s">
        <v>20</v>
      </c>
      <c r="B647" s="8" t="s">
        <v>51</v>
      </c>
      <c r="C647" s="5" t="s">
        <v>76</v>
      </c>
      <c r="D647" s="5" t="s">
        <v>82</v>
      </c>
      <c r="E647" s="5">
        <v>5</v>
      </c>
      <c r="F647" s="5">
        <v>8</v>
      </c>
      <c r="G647" s="6">
        <v>6250</v>
      </c>
      <c r="H647" s="6">
        <v>10000</v>
      </c>
      <c r="I647" s="5" t="s">
        <v>7</v>
      </c>
    </row>
    <row r="648" spans="1:9" ht="15.75" x14ac:dyDescent="0.25">
      <c r="A648" s="3" t="s">
        <v>20</v>
      </c>
      <c r="B648" s="8" t="s">
        <v>51</v>
      </c>
      <c r="C648" s="5" t="s">
        <v>76</v>
      </c>
      <c r="D648" s="5" t="s">
        <v>83</v>
      </c>
      <c r="E648" s="5">
        <v>64</v>
      </c>
      <c r="F648" s="5">
        <v>66</v>
      </c>
      <c r="G648" s="6">
        <v>544000</v>
      </c>
      <c r="H648" s="6">
        <v>561000</v>
      </c>
      <c r="I648" s="5" t="s">
        <v>7</v>
      </c>
    </row>
    <row r="649" spans="1:9" ht="15.75" x14ac:dyDescent="0.25">
      <c r="A649" s="3" t="s">
        <v>20</v>
      </c>
      <c r="B649" s="8" t="s">
        <v>51</v>
      </c>
      <c r="C649" s="5" t="s">
        <v>76</v>
      </c>
      <c r="D649" s="5" t="s">
        <v>84</v>
      </c>
      <c r="E649" s="5">
        <v>6</v>
      </c>
      <c r="F649" s="5">
        <v>12</v>
      </c>
      <c r="G649" s="6">
        <v>8400</v>
      </c>
      <c r="H649" s="6">
        <v>16800</v>
      </c>
      <c r="I649" s="5" t="s">
        <v>7</v>
      </c>
    </row>
    <row r="650" spans="1:9" ht="15.75" x14ac:dyDescent="0.25">
      <c r="A650" s="3" t="s">
        <v>21</v>
      </c>
      <c r="B650" s="8" t="s">
        <v>52</v>
      </c>
      <c r="C650" s="5" t="s">
        <v>77</v>
      </c>
      <c r="D650" s="5" t="s">
        <v>82</v>
      </c>
      <c r="E650" s="5">
        <v>22</v>
      </c>
      <c r="F650" s="5">
        <v>101</v>
      </c>
      <c r="G650" s="6">
        <v>27500</v>
      </c>
      <c r="H650" s="6">
        <v>126250</v>
      </c>
      <c r="I650" s="5" t="s">
        <v>8</v>
      </c>
    </row>
    <row r="651" spans="1:9" ht="15.75" x14ac:dyDescent="0.25">
      <c r="A651" s="3" t="s">
        <v>21</v>
      </c>
      <c r="B651" s="8" t="s">
        <v>52</v>
      </c>
      <c r="C651" s="5" t="s">
        <v>77</v>
      </c>
      <c r="D651" s="5" t="s">
        <v>83</v>
      </c>
      <c r="E651" s="5">
        <v>4</v>
      </c>
      <c r="F651" s="5">
        <v>10</v>
      </c>
      <c r="G651" s="6">
        <v>34000</v>
      </c>
      <c r="H651" s="6">
        <v>85000</v>
      </c>
      <c r="I651" s="5" t="s">
        <v>8</v>
      </c>
    </row>
    <row r="652" spans="1:9" ht="15.75" x14ac:dyDescent="0.25">
      <c r="A652" s="3" t="s">
        <v>21</v>
      </c>
      <c r="B652" s="8" t="s">
        <v>52</v>
      </c>
      <c r="C652" s="5" t="s">
        <v>77</v>
      </c>
      <c r="D652" s="5" t="s">
        <v>84</v>
      </c>
      <c r="E652" s="5">
        <v>2</v>
      </c>
      <c r="F652" s="5">
        <v>8</v>
      </c>
      <c r="G652" s="6">
        <v>2800</v>
      </c>
      <c r="H652" s="6">
        <v>11200</v>
      </c>
      <c r="I652" s="5" t="s">
        <v>8</v>
      </c>
    </row>
    <row r="653" spans="1:9" ht="15.75" x14ac:dyDescent="0.25">
      <c r="A653" s="3" t="s">
        <v>21</v>
      </c>
      <c r="B653" s="8" t="s">
        <v>53</v>
      </c>
      <c r="C653" s="5" t="s">
        <v>78</v>
      </c>
      <c r="D653" s="5" t="s">
        <v>82</v>
      </c>
      <c r="E653" s="5">
        <v>14</v>
      </c>
      <c r="F653" s="5">
        <v>136</v>
      </c>
      <c r="G653" s="6">
        <v>17500</v>
      </c>
      <c r="H653" s="6">
        <v>170000</v>
      </c>
      <c r="I653" s="5" t="s">
        <v>8</v>
      </c>
    </row>
    <row r="654" spans="1:9" ht="15.75" x14ac:dyDescent="0.25">
      <c r="A654" s="3" t="s">
        <v>21</v>
      </c>
      <c r="B654" s="8" t="s">
        <v>53</v>
      </c>
      <c r="C654" s="5" t="s">
        <v>78</v>
      </c>
      <c r="D654" s="5" t="s">
        <v>83</v>
      </c>
      <c r="E654" s="5">
        <v>49</v>
      </c>
      <c r="F654" s="5">
        <v>60</v>
      </c>
      <c r="G654" s="6">
        <v>416500</v>
      </c>
      <c r="H654" s="6">
        <v>510000</v>
      </c>
      <c r="I654" s="5" t="s">
        <v>8</v>
      </c>
    </row>
    <row r="655" spans="1:9" ht="15.75" x14ac:dyDescent="0.25">
      <c r="A655" s="3" t="s">
        <v>21</v>
      </c>
      <c r="B655" s="8" t="s">
        <v>53</v>
      </c>
      <c r="C655" s="5" t="s">
        <v>78</v>
      </c>
      <c r="D655" s="5" t="s">
        <v>84</v>
      </c>
      <c r="E655" s="5">
        <v>51</v>
      </c>
      <c r="F655" s="5">
        <v>64</v>
      </c>
      <c r="G655" s="6">
        <v>71400</v>
      </c>
      <c r="H655" s="6">
        <v>89600</v>
      </c>
      <c r="I655" s="5" t="s">
        <v>8</v>
      </c>
    </row>
    <row r="656" spans="1:9" ht="15.75" x14ac:dyDescent="0.25">
      <c r="A656" s="3" t="s">
        <v>21</v>
      </c>
      <c r="B656" s="8" t="s">
        <v>54</v>
      </c>
      <c r="C656" s="5" t="s">
        <v>79</v>
      </c>
      <c r="D656" s="5" t="s">
        <v>82</v>
      </c>
      <c r="E656" s="5">
        <v>23</v>
      </c>
      <c r="F656" s="5">
        <v>28</v>
      </c>
      <c r="G656" s="6">
        <v>28750</v>
      </c>
      <c r="H656" s="6">
        <v>35000</v>
      </c>
      <c r="I656" s="5" t="s">
        <v>8</v>
      </c>
    </row>
    <row r="657" spans="1:9" ht="15.75" x14ac:dyDescent="0.25">
      <c r="A657" s="3" t="s">
        <v>21</v>
      </c>
      <c r="B657" s="8" t="s">
        <v>54</v>
      </c>
      <c r="C657" s="5" t="s">
        <v>79</v>
      </c>
      <c r="D657" s="5" t="s">
        <v>83</v>
      </c>
      <c r="E657" s="5">
        <v>33</v>
      </c>
      <c r="F657" s="5">
        <v>55</v>
      </c>
      <c r="G657" s="6">
        <v>280500</v>
      </c>
      <c r="H657" s="6">
        <v>467500</v>
      </c>
      <c r="I657" s="5" t="s">
        <v>8</v>
      </c>
    </row>
    <row r="658" spans="1:9" ht="15.75" x14ac:dyDescent="0.25">
      <c r="A658" s="3" t="s">
        <v>21</v>
      </c>
      <c r="B658" s="8" t="s">
        <v>54</v>
      </c>
      <c r="C658" s="5" t="s">
        <v>79</v>
      </c>
      <c r="D658" s="5" t="s">
        <v>84</v>
      </c>
      <c r="E658" s="5">
        <v>11</v>
      </c>
      <c r="F658" s="5">
        <v>45</v>
      </c>
      <c r="G658" s="6">
        <v>15400</v>
      </c>
      <c r="H658" s="6">
        <v>63000</v>
      </c>
      <c r="I658" s="5" t="s">
        <v>8</v>
      </c>
    </row>
    <row r="659" spans="1:9" ht="15.75" x14ac:dyDescent="0.25">
      <c r="A659" s="3" t="s">
        <v>21</v>
      </c>
      <c r="B659" s="8" t="s">
        <v>52</v>
      </c>
      <c r="C659" s="5" t="s">
        <v>77</v>
      </c>
      <c r="D659" s="5" t="s">
        <v>82</v>
      </c>
      <c r="E659" s="5">
        <v>27</v>
      </c>
      <c r="F659" s="5">
        <v>49</v>
      </c>
      <c r="G659" s="6">
        <v>33750</v>
      </c>
      <c r="H659" s="6">
        <v>61250</v>
      </c>
      <c r="I659" s="5" t="s">
        <v>12</v>
      </c>
    </row>
    <row r="660" spans="1:9" ht="15.75" x14ac:dyDescent="0.25">
      <c r="A660" s="3" t="s">
        <v>21</v>
      </c>
      <c r="B660" s="8" t="s">
        <v>52</v>
      </c>
      <c r="C660" s="5" t="s">
        <v>77</v>
      </c>
      <c r="D660" s="5" t="s">
        <v>83</v>
      </c>
      <c r="E660" s="5">
        <v>79</v>
      </c>
      <c r="F660" s="5">
        <v>129</v>
      </c>
      <c r="G660" s="6">
        <v>671500</v>
      </c>
      <c r="H660" s="6">
        <v>1096500</v>
      </c>
      <c r="I660" s="5" t="s">
        <v>12</v>
      </c>
    </row>
    <row r="661" spans="1:9" ht="15.75" x14ac:dyDescent="0.25">
      <c r="A661" s="3" t="s">
        <v>21</v>
      </c>
      <c r="B661" s="8" t="s">
        <v>52</v>
      </c>
      <c r="C661" s="5" t="s">
        <v>77</v>
      </c>
      <c r="D661" s="5" t="s">
        <v>84</v>
      </c>
      <c r="E661" s="5">
        <v>27</v>
      </c>
      <c r="F661" s="5">
        <v>29</v>
      </c>
      <c r="G661" s="6">
        <v>37800</v>
      </c>
      <c r="H661" s="6">
        <v>40600</v>
      </c>
      <c r="I661" s="5" t="s">
        <v>12</v>
      </c>
    </row>
    <row r="662" spans="1:9" ht="15.75" x14ac:dyDescent="0.25">
      <c r="A662" s="3" t="s">
        <v>21</v>
      </c>
      <c r="B662" s="8" t="s">
        <v>53</v>
      </c>
      <c r="C662" s="5" t="s">
        <v>78</v>
      </c>
      <c r="D662" s="5" t="s">
        <v>82</v>
      </c>
      <c r="E662" s="5">
        <v>97</v>
      </c>
      <c r="F662" s="5">
        <v>97</v>
      </c>
      <c r="G662" s="6">
        <v>121250</v>
      </c>
      <c r="H662" s="6">
        <v>121250</v>
      </c>
      <c r="I662" s="5" t="s">
        <v>12</v>
      </c>
    </row>
    <row r="663" spans="1:9" ht="15.75" x14ac:dyDescent="0.25">
      <c r="A663" s="3" t="s">
        <v>21</v>
      </c>
      <c r="B663" s="8" t="s">
        <v>53</v>
      </c>
      <c r="C663" s="5" t="s">
        <v>78</v>
      </c>
      <c r="D663" s="5" t="s">
        <v>83</v>
      </c>
      <c r="E663" s="5">
        <v>8</v>
      </c>
      <c r="F663" s="5">
        <v>13</v>
      </c>
      <c r="G663" s="6">
        <v>68000</v>
      </c>
      <c r="H663" s="6">
        <v>110500</v>
      </c>
      <c r="I663" s="5" t="s">
        <v>12</v>
      </c>
    </row>
    <row r="664" spans="1:9" ht="15.75" x14ac:dyDescent="0.25">
      <c r="A664" s="3" t="s">
        <v>21</v>
      </c>
      <c r="B664" s="8" t="s">
        <v>53</v>
      </c>
      <c r="C664" s="5" t="s">
        <v>78</v>
      </c>
      <c r="D664" s="5" t="s">
        <v>84</v>
      </c>
      <c r="E664" s="5">
        <v>112</v>
      </c>
      <c r="F664" s="5">
        <v>125</v>
      </c>
      <c r="G664" s="6">
        <v>156800</v>
      </c>
      <c r="H664" s="6">
        <v>175000</v>
      </c>
      <c r="I664" s="5" t="s">
        <v>12</v>
      </c>
    </row>
    <row r="665" spans="1:9" ht="15.75" x14ac:dyDescent="0.25">
      <c r="A665" s="3" t="s">
        <v>21</v>
      </c>
      <c r="B665" s="8" t="s">
        <v>54</v>
      </c>
      <c r="C665" s="5" t="s">
        <v>79</v>
      </c>
      <c r="D665" s="5" t="s">
        <v>82</v>
      </c>
      <c r="E665" s="5">
        <v>3</v>
      </c>
      <c r="F665" s="5">
        <v>6</v>
      </c>
      <c r="G665" s="6">
        <v>3750</v>
      </c>
      <c r="H665" s="6">
        <v>7500</v>
      </c>
      <c r="I665" s="5" t="s">
        <v>12</v>
      </c>
    </row>
    <row r="666" spans="1:9" ht="15.75" x14ac:dyDescent="0.25">
      <c r="A666" s="3" t="s">
        <v>21</v>
      </c>
      <c r="B666" s="8" t="s">
        <v>54</v>
      </c>
      <c r="C666" s="5" t="s">
        <v>79</v>
      </c>
      <c r="D666" s="5" t="s">
        <v>83</v>
      </c>
      <c r="E666" s="5">
        <v>6</v>
      </c>
      <c r="F666" s="5">
        <v>8</v>
      </c>
      <c r="G666" s="6">
        <v>51000</v>
      </c>
      <c r="H666" s="6">
        <v>68000</v>
      </c>
      <c r="I666" s="5" t="s">
        <v>12</v>
      </c>
    </row>
    <row r="667" spans="1:9" ht="15.75" x14ac:dyDescent="0.25">
      <c r="A667" s="3" t="s">
        <v>21</v>
      </c>
      <c r="B667" s="8" t="s">
        <v>54</v>
      </c>
      <c r="C667" s="5" t="s">
        <v>79</v>
      </c>
      <c r="D667" s="5" t="s">
        <v>84</v>
      </c>
      <c r="E667" s="5">
        <v>84</v>
      </c>
      <c r="F667" s="5">
        <v>91</v>
      </c>
      <c r="G667" s="6">
        <v>117600</v>
      </c>
      <c r="H667" s="6">
        <v>127400</v>
      </c>
      <c r="I667" s="5" t="s">
        <v>12</v>
      </c>
    </row>
    <row r="668" spans="1:9" ht="15.75" x14ac:dyDescent="0.25">
      <c r="A668" s="3" t="s">
        <v>21</v>
      </c>
      <c r="B668" s="8" t="s">
        <v>52</v>
      </c>
      <c r="C668" s="5" t="s">
        <v>77</v>
      </c>
      <c r="D668" s="5" t="s">
        <v>82</v>
      </c>
      <c r="E668" s="5">
        <v>6</v>
      </c>
      <c r="F668" s="5">
        <v>34</v>
      </c>
      <c r="G668" s="6">
        <v>7500</v>
      </c>
      <c r="H668" s="6">
        <v>42500</v>
      </c>
      <c r="I668" s="5" t="s">
        <v>10</v>
      </c>
    </row>
    <row r="669" spans="1:9" ht="15.75" x14ac:dyDescent="0.25">
      <c r="A669" s="3" t="s">
        <v>21</v>
      </c>
      <c r="B669" s="8" t="s">
        <v>52</v>
      </c>
      <c r="C669" s="5" t="s">
        <v>77</v>
      </c>
      <c r="D669" s="5" t="s">
        <v>83</v>
      </c>
      <c r="E669" s="5">
        <v>85</v>
      </c>
      <c r="F669" s="5">
        <v>87</v>
      </c>
      <c r="G669" s="6">
        <v>722500</v>
      </c>
      <c r="H669" s="6">
        <v>739500</v>
      </c>
      <c r="I669" s="5" t="s">
        <v>10</v>
      </c>
    </row>
    <row r="670" spans="1:9" ht="15.75" x14ac:dyDescent="0.25">
      <c r="A670" s="3" t="s">
        <v>21</v>
      </c>
      <c r="B670" s="8" t="s">
        <v>52</v>
      </c>
      <c r="C670" s="5" t="s">
        <v>77</v>
      </c>
      <c r="D670" s="5" t="s">
        <v>84</v>
      </c>
      <c r="E670" s="5">
        <v>14</v>
      </c>
      <c r="F670" s="5">
        <v>17</v>
      </c>
      <c r="G670" s="6">
        <v>19600</v>
      </c>
      <c r="H670" s="6">
        <v>23800</v>
      </c>
      <c r="I670" s="5" t="s">
        <v>10</v>
      </c>
    </row>
    <row r="671" spans="1:9" ht="15.75" x14ac:dyDescent="0.25">
      <c r="A671" s="3" t="s">
        <v>21</v>
      </c>
      <c r="B671" s="8" t="s">
        <v>53</v>
      </c>
      <c r="C671" s="5" t="s">
        <v>78</v>
      </c>
      <c r="D671" s="5" t="s">
        <v>82</v>
      </c>
      <c r="E671" s="5">
        <v>22</v>
      </c>
      <c r="F671" s="5">
        <v>98</v>
      </c>
      <c r="G671" s="6">
        <v>27500</v>
      </c>
      <c r="H671" s="6">
        <v>122500</v>
      </c>
      <c r="I671" s="5" t="s">
        <v>10</v>
      </c>
    </row>
    <row r="672" spans="1:9" ht="15.75" x14ac:dyDescent="0.25">
      <c r="A672" s="3" t="s">
        <v>21</v>
      </c>
      <c r="B672" s="8" t="s">
        <v>53</v>
      </c>
      <c r="C672" s="5" t="s">
        <v>78</v>
      </c>
      <c r="D672" s="5" t="s">
        <v>83</v>
      </c>
      <c r="E672" s="5">
        <v>103</v>
      </c>
      <c r="F672" s="5">
        <v>120</v>
      </c>
      <c r="G672" s="6">
        <v>875500</v>
      </c>
      <c r="H672" s="6">
        <v>1020000</v>
      </c>
      <c r="I672" s="5" t="s">
        <v>10</v>
      </c>
    </row>
    <row r="673" spans="1:9" ht="15.75" x14ac:dyDescent="0.25">
      <c r="A673" s="3" t="s">
        <v>21</v>
      </c>
      <c r="B673" s="8" t="s">
        <v>53</v>
      </c>
      <c r="C673" s="5" t="s">
        <v>78</v>
      </c>
      <c r="D673" s="5" t="s">
        <v>84</v>
      </c>
      <c r="E673" s="5">
        <v>1</v>
      </c>
      <c r="F673" s="5">
        <v>6</v>
      </c>
      <c r="G673" s="6">
        <v>1400</v>
      </c>
      <c r="H673" s="6">
        <v>8400</v>
      </c>
      <c r="I673" s="5" t="s">
        <v>10</v>
      </c>
    </row>
    <row r="674" spans="1:9" ht="15.75" x14ac:dyDescent="0.25">
      <c r="A674" s="3" t="s">
        <v>21</v>
      </c>
      <c r="B674" s="8" t="s">
        <v>54</v>
      </c>
      <c r="C674" s="5" t="s">
        <v>79</v>
      </c>
      <c r="D674" s="5" t="s">
        <v>82</v>
      </c>
      <c r="E674" s="5">
        <v>48</v>
      </c>
      <c r="F674" s="5">
        <v>86</v>
      </c>
      <c r="G674" s="6">
        <v>60000</v>
      </c>
      <c r="H674" s="6">
        <v>107500</v>
      </c>
      <c r="I674" s="5" t="s">
        <v>10</v>
      </c>
    </row>
    <row r="675" spans="1:9" ht="15.75" x14ac:dyDescent="0.25">
      <c r="A675" s="3" t="s">
        <v>21</v>
      </c>
      <c r="B675" s="8" t="s">
        <v>54</v>
      </c>
      <c r="C675" s="5" t="s">
        <v>79</v>
      </c>
      <c r="D675" s="5" t="s">
        <v>83</v>
      </c>
      <c r="E675" s="5">
        <v>14</v>
      </c>
      <c r="F675" s="5">
        <v>33</v>
      </c>
      <c r="G675" s="6">
        <v>119000</v>
      </c>
      <c r="H675" s="6">
        <v>280500</v>
      </c>
      <c r="I675" s="5" t="s">
        <v>10</v>
      </c>
    </row>
    <row r="676" spans="1:9" ht="15.75" x14ac:dyDescent="0.25">
      <c r="A676" s="3" t="s">
        <v>21</v>
      </c>
      <c r="B676" s="8" t="s">
        <v>54</v>
      </c>
      <c r="C676" s="5" t="s">
        <v>79</v>
      </c>
      <c r="D676" s="5" t="s">
        <v>84</v>
      </c>
      <c r="E676" s="5">
        <v>0</v>
      </c>
      <c r="F676" s="5">
        <v>9</v>
      </c>
      <c r="G676" s="6">
        <v>0</v>
      </c>
      <c r="H676" s="6">
        <v>12600</v>
      </c>
      <c r="I676" s="5" t="s">
        <v>10</v>
      </c>
    </row>
    <row r="677" spans="1:9" ht="15.75" x14ac:dyDescent="0.25">
      <c r="A677" s="3" t="s">
        <v>21</v>
      </c>
      <c r="B677" s="8" t="s">
        <v>52</v>
      </c>
      <c r="C677" s="5" t="s">
        <v>77</v>
      </c>
      <c r="D677" s="5" t="s">
        <v>82</v>
      </c>
      <c r="E677" s="5">
        <v>7</v>
      </c>
      <c r="F677" s="5">
        <v>66</v>
      </c>
      <c r="G677" s="6">
        <v>8750</v>
      </c>
      <c r="H677" s="6">
        <v>82500</v>
      </c>
      <c r="I677" s="5" t="s">
        <v>9</v>
      </c>
    </row>
    <row r="678" spans="1:9" ht="15.75" x14ac:dyDescent="0.25">
      <c r="A678" s="3" t="s">
        <v>21</v>
      </c>
      <c r="B678" s="8" t="s">
        <v>52</v>
      </c>
      <c r="C678" s="5" t="s">
        <v>77</v>
      </c>
      <c r="D678" s="5" t="s">
        <v>83</v>
      </c>
      <c r="E678" s="5">
        <v>5</v>
      </c>
      <c r="F678" s="5">
        <v>22</v>
      </c>
      <c r="G678" s="6">
        <v>42500</v>
      </c>
      <c r="H678" s="6">
        <v>187000</v>
      </c>
      <c r="I678" s="5" t="s">
        <v>9</v>
      </c>
    </row>
    <row r="679" spans="1:9" ht="15.75" x14ac:dyDescent="0.25">
      <c r="A679" s="3" t="s">
        <v>21</v>
      </c>
      <c r="B679" s="8" t="s">
        <v>52</v>
      </c>
      <c r="C679" s="5" t="s">
        <v>77</v>
      </c>
      <c r="D679" s="5" t="s">
        <v>84</v>
      </c>
      <c r="E679" s="5">
        <v>34</v>
      </c>
      <c r="F679" s="5">
        <v>48</v>
      </c>
      <c r="G679" s="6">
        <v>47600</v>
      </c>
      <c r="H679" s="6">
        <v>67200</v>
      </c>
      <c r="I679" s="5" t="s">
        <v>9</v>
      </c>
    </row>
    <row r="680" spans="1:9" ht="15.75" x14ac:dyDescent="0.25">
      <c r="A680" s="3" t="s">
        <v>21</v>
      </c>
      <c r="B680" s="8" t="s">
        <v>53</v>
      </c>
      <c r="C680" s="5" t="s">
        <v>78</v>
      </c>
      <c r="D680" s="5" t="s">
        <v>82</v>
      </c>
      <c r="E680" s="5">
        <v>58</v>
      </c>
      <c r="F680" s="5">
        <v>64</v>
      </c>
      <c r="G680" s="6">
        <v>72500</v>
      </c>
      <c r="H680" s="6">
        <v>80000</v>
      </c>
      <c r="I680" s="5" t="s">
        <v>9</v>
      </c>
    </row>
    <row r="681" spans="1:9" ht="15.75" x14ac:dyDescent="0.25">
      <c r="A681" s="3" t="s">
        <v>21</v>
      </c>
      <c r="B681" s="8" t="s">
        <v>53</v>
      </c>
      <c r="C681" s="5" t="s">
        <v>78</v>
      </c>
      <c r="D681" s="5" t="s">
        <v>83</v>
      </c>
      <c r="E681" s="5">
        <v>11</v>
      </c>
      <c r="F681" s="5">
        <v>28</v>
      </c>
      <c r="G681" s="6">
        <v>93500</v>
      </c>
      <c r="H681" s="6">
        <v>238000</v>
      </c>
      <c r="I681" s="5" t="s">
        <v>9</v>
      </c>
    </row>
    <row r="682" spans="1:9" ht="15.75" x14ac:dyDescent="0.25">
      <c r="A682" s="3" t="s">
        <v>21</v>
      </c>
      <c r="B682" s="8" t="s">
        <v>53</v>
      </c>
      <c r="C682" s="5" t="s">
        <v>78</v>
      </c>
      <c r="D682" s="5" t="s">
        <v>84</v>
      </c>
      <c r="E682" s="5">
        <v>9</v>
      </c>
      <c r="F682" s="5">
        <v>37</v>
      </c>
      <c r="G682" s="6">
        <v>12600</v>
      </c>
      <c r="H682" s="6">
        <v>51800</v>
      </c>
      <c r="I682" s="5" t="s">
        <v>9</v>
      </c>
    </row>
    <row r="683" spans="1:9" ht="15.75" x14ac:dyDescent="0.25">
      <c r="A683" s="3" t="s">
        <v>21</v>
      </c>
      <c r="B683" s="8" t="s">
        <v>54</v>
      </c>
      <c r="C683" s="5" t="s">
        <v>79</v>
      </c>
      <c r="D683" s="5" t="s">
        <v>82</v>
      </c>
      <c r="E683" s="5">
        <v>15</v>
      </c>
      <c r="F683" s="5">
        <v>29</v>
      </c>
      <c r="G683" s="6">
        <v>18750</v>
      </c>
      <c r="H683" s="6">
        <v>36250</v>
      </c>
      <c r="I683" s="5" t="s">
        <v>9</v>
      </c>
    </row>
    <row r="684" spans="1:9" ht="15.75" x14ac:dyDescent="0.25">
      <c r="A684" s="3" t="s">
        <v>21</v>
      </c>
      <c r="B684" s="8" t="s">
        <v>54</v>
      </c>
      <c r="C684" s="5" t="s">
        <v>79</v>
      </c>
      <c r="D684" s="5" t="s">
        <v>83</v>
      </c>
      <c r="E684" s="5">
        <v>43</v>
      </c>
      <c r="F684" s="5">
        <v>48</v>
      </c>
      <c r="G684" s="6">
        <v>365500</v>
      </c>
      <c r="H684" s="6">
        <v>408000</v>
      </c>
      <c r="I684" s="5" t="s">
        <v>9</v>
      </c>
    </row>
    <row r="685" spans="1:9" ht="15.75" x14ac:dyDescent="0.25">
      <c r="A685" s="3" t="s">
        <v>21</v>
      </c>
      <c r="B685" s="8" t="s">
        <v>54</v>
      </c>
      <c r="C685" s="5" t="s">
        <v>79</v>
      </c>
      <c r="D685" s="5" t="s">
        <v>84</v>
      </c>
      <c r="E685" s="5">
        <v>95</v>
      </c>
      <c r="F685" s="5">
        <v>108</v>
      </c>
      <c r="G685" s="6">
        <v>133000</v>
      </c>
      <c r="H685" s="6">
        <v>151200</v>
      </c>
      <c r="I685" s="5" t="s">
        <v>9</v>
      </c>
    </row>
    <row r="686" spans="1:9" ht="15.75" x14ac:dyDescent="0.25">
      <c r="A686" s="3" t="s">
        <v>21</v>
      </c>
      <c r="B686" s="8" t="s">
        <v>52</v>
      </c>
      <c r="C686" s="5" t="s">
        <v>77</v>
      </c>
      <c r="D686" s="5" t="s">
        <v>82</v>
      </c>
      <c r="E686" s="5">
        <v>47</v>
      </c>
      <c r="F686" s="5">
        <v>84</v>
      </c>
      <c r="G686" s="6">
        <v>58750</v>
      </c>
      <c r="H686" s="6">
        <v>105000</v>
      </c>
      <c r="I686" s="5" t="s">
        <v>6</v>
      </c>
    </row>
    <row r="687" spans="1:9" ht="15.75" x14ac:dyDescent="0.25">
      <c r="A687" s="3" t="s">
        <v>21</v>
      </c>
      <c r="B687" s="8" t="s">
        <v>52</v>
      </c>
      <c r="C687" s="5" t="s">
        <v>77</v>
      </c>
      <c r="D687" s="5" t="s">
        <v>83</v>
      </c>
      <c r="E687" s="5">
        <v>2</v>
      </c>
      <c r="F687" s="5">
        <v>22</v>
      </c>
      <c r="G687" s="6">
        <v>17000</v>
      </c>
      <c r="H687" s="6">
        <v>187000</v>
      </c>
      <c r="I687" s="5" t="s">
        <v>6</v>
      </c>
    </row>
    <row r="688" spans="1:9" ht="15.75" x14ac:dyDescent="0.25">
      <c r="A688" s="3" t="s">
        <v>21</v>
      </c>
      <c r="B688" s="8" t="s">
        <v>52</v>
      </c>
      <c r="C688" s="5" t="s">
        <v>77</v>
      </c>
      <c r="D688" s="5" t="s">
        <v>84</v>
      </c>
      <c r="E688" s="5">
        <v>7</v>
      </c>
      <c r="F688" s="5">
        <v>19</v>
      </c>
      <c r="G688" s="6">
        <v>9800</v>
      </c>
      <c r="H688" s="6">
        <v>26600</v>
      </c>
      <c r="I688" s="5" t="s">
        <v>6</v>
      </c>
    </row>
    <row r="689" spans="1:9" ht="15.75" x14ac:dyDescent="0.25">
      <c r="A689" s="3" t="s">
        <v>21</v>
      </c>
      <c r="B689" s="8" t="s">
        <v>53</v>
      </c>
      <c r="C689" s="5" t="s">
        <v>78</v>
      </c>
      <c r="D689" s="5" t="s">
        <v>82</v>
      </c>
      <c r="E689" s="5">
        <v>16</v>
      </c>
      <c r="F689" s="5">
        <v>26</v>
      </c>
      <c r="G689" s="6">
        <v>20000</v>
      </c>
      <c r="H689" s="6">
        <v>32500</v>
      </c>
      <c r="I689" s="5" t="s">
        <v>6</v>
      </c>
    </row>
    <row r="690" spans="1:9" ht="15.75" x14ac:dyDescent="0.25">
      <c r="A690" s="3" t="s">
        <v>21</v>
      </c>
      <c r="B690" s="8" t="s">
        <v>53</v>
      </c>
      <c r="C690" s="5" t="s">
        <v>78</v>
      </c>
      <c r="D690" s="5" t="s">
        <v>83</v>
      </c>
      <c r="E690" s="5">
        <v>77</v>
      </c>
      <c r="F690" s="5">
        <v>99</v>
      </c>
      <c r="G690" s="6">
        <v>654500</v>
      </c>
      <c r="H690" s="6">
        <v>841500</v>
      </c>
      <c r="I690" s="5" t="s">
        <v>6</v>
      </c>
    </row>
    <row r="691" spans="1:9" ht="15.75" x14ac:dyDescent="0.25">
      <c r="A691" s="3" t="s">
        <v>21</v>
      </c>
      <c r="B691" s="8" t="s">
        <v>53</v>
      </c>
      <c r="C691" s="5" t="s">
        <v>78</v>
      </c>
      <c r="D691" s="5" t="s">
        <v>84</v>
      </c>
      <c r="E691" s="5">
        <v>19</v>
      </c>
      <c r="F691" s="5">
        <v>74</v>
      </c>
      <c r="G691" s="6">
        <v>26600</v>
      </c>
      <c r="H691" s="6">
        <v>103600</v>
      </c>
      <c r="I691" s="5" t="s">
        <v>6</v>
      </c>
    </row>
    <row r="692" spans="1:9" ht="15.75" x14ac:dyDescent="0.25">
      <c r="A692" s="3" t="s">
        <v>21</v>
      </c>
      <c r="B692" s="8" t="s">
        <v>54</v>
      </c>
      <c r="C692" s="5" t="s">
        <v>79</v>
      </c>
      <c r="D692" s="5" t="s">
        <v>82</v>
      </c>
      <c r="E692" s="5">
        <v>6</v>
      </c>
      <c r="F692" s="5">
        <v>15</v>
      </c>
      <c r="G692" s="6">
        <v>7500</v>
      </c>
      <c r="H692" s="6">
        <v>18750</v>
      </c>
      <c r="I692" s="5" t="s">
        <v>6</v>
      </c>
    </row>
    <row r="693" spans="1:9" ht="15.75" x14ac:dyDescent="0.25">
      <c r="A693" s="3" t="s">
        <v>21</v>
      </c>
      <c r="B693" s="8" t="s">
        <v>54</v>
      </c>
      <c r="C693" s="5" t="s">
        <v>79</v>
      </c>
      <c r="D693" s="5" t="s">
        <v>83</v>
      </c>
      <c r="E693" s="5">
        <v>11</v>
      </c>
      <c r="F693" s="5">
        <v>40</v>
      </c>
      <c r="G693" s="6">
        <v>93500</v>
      </c>
      <c r="H693" s="6">
        <v>340000</v>
      </c>
      <c r="I693" s="5" t="s">
        <v>6</v>
      </c>
    </row>
    <row r="694" spans="1:9" ht="15.75" x14ac:dyDescent="0.25">
      <c r="A694" s="3" t="s">
        <v>21</v>
      </c>
      <c r="B694" s="8" t="s">
        <v>54</v>
      </c>
      <c r="C694" s="5" t="s">
        <v>79</v>
      </c>
      <c r="D694" s="5" t="s">
        <v>84</v>
      </c>
      <c r="E694" s="5">
        <v>20</v>
      </c>
      <c r="F694" s="5">
        <v>131</v>
      </c>
      <c r="G694" s="6">
        <v>28000</v>
      </c>
      <c r="H694" s="6">
        <v>183400</v>
      </c>
      <c r="I694" s="5" t="s">
        <v>6</v>
      </c>
    </row>
    <row r="695" spans="1:9" ht="15.75" x14ac:dyDescent="0.25">
      <c r="A695" s="3" t="s">
        <v>21</v>
      </c>
      <c r="B695" s="8" t="s">
        <v>52</v>
      </c>
      <c r="C695" s="5" t="s">
        <v>77</v>
      </c>
      <c r="D695" s="5" t="s">
        <v>82</v>
      </c>
      <c r="E695" s="5">
        <v>11</v>
      </c>
      <c r="F695" s="5">
        <v>15</v>
      </c>
      <c r="G695" s="6">
        <v>13750</v>
      </c>
      <c r="H695" s="6">
        <v>18750</v>
      </c>
      <c r="I695" s="5" t="s">
        <v>11</v>
      </c>
    </row>
    <row r="696" spans="1:9" ht="15.75" x14ac:dyDescent="0.25">
      <c r="A696" s="3" t="s">
        <v>21</v>
      </c>
      <c r="B696" s="8" t="s">
        <v>52</v>
      </c>
      <c r="C696" s="5" t="s">
        <v>77</v>
      </c>
      <c r="D696" s="5" t="s">
        <v>83</v>
      </c>
      <c r="E696" s="5">
        <v>39</v>
      </c>
      <c r="F696" s="5">
        <v>99</v>
      </c>
      <c r="G696" s="6">
        <v>331500</v>
      </c>
      <c r="H696" s="6">
        <v>841500</v>
      </c>
      <c r="I696" s="5" t="s">
        <v>11</v>
      </c>
    </row>
    <row r="697" spans="1:9" ht="15.75" x14ac:dyDescent="0.25">
      <c r="A697" s="3" t="s">
        <v>21</v>
      </c>
      <c r="B697" s="8" t="s">
        <v>52</v>
      </c>
      <c r="C697" s="5" t="s">
        <v>77</v>
      </c>
      <c r="D697" s="5" t="s">
        <v>84</v>
      </c>
      <c r="E697" s="5">
        <v>44</v>
      </c>
      <c r="F697" s="5">
        <v>46</v>
      </c>
      <c r="G697" s="6">
        <v>61600</v>
      </c>
      <c r="H697" s="6">
        <v>64400</v>
      </c>
      <c r="I697" s="5" t="s">
        <v>11</v>
      </c>
    </row>
    <row r="698" spans="1:9" ht="15.75" x14ac:dyDescent="0.25">
      <c r="A698" s="3" t="s">
        <v>21</v>
      </c>
      <c r="B698" s="8" t="s">
        <v>53</v>
      </c>
      <c r="C698" s="5" t="s">
        <v>78</v>
      </c>
      <c r="D698" s="5" t="s">
        <v>82</v>
      </c>
      <c r="E698" s="5">
        <v>3</v>
      </c>
      <c r="F698" s="5">
        <v>9</v>
      </c>
      <c r="G698" s="6">
        <v>3750</v>
      </c>
      <c r="H698" s="6">
        <v>11250</v>
      </c>
      <c r="I698" s="5" t="s">
        <v>11</v>
      </c>
    </row>
    <row r="699" spans="1:9" ht="15.75" x14ac:dyDescent="0.25">
      <c r="A699" s="3" t="s">
        <v>21</v>
      </c>
      <c r="B699" s="8" t="s">
        <v>53</v>
      </c>
      <c r="C699" s="5" t="s">
        <v>78</v>
      </c>
      <c r="D699" s="5" t="s">
        <v>83</v>
      </c>
      <c r="E699" s="5">
        <v>2</v>
      </c>
      <c r="F699" s="5">
        <v>8</v>
      </c>
      <c r="G699" s="6">
        <v>17000</v>
      </c>
      <c r="H699" s="6">
        <v>68000</v>
      </c>
      <c r="I699" s="5" t="s">
        <v>11</v>
      </c>
    </row>
    <row r="700" spans="1:9" ht="15.75" x14ac:dyDescent="0.25">
      <c r="A700" s="3" t="s">
        <v>21</v>
      </c>
      <c r="B700" s="8" t="s">
        <v>53</v>
      </c>
      <c r="C700" s="5" t="s">
        <v>78</v>
      </c>
      <c r="D700" s="5" t="s">
        <v>84</v>
      </c>
      <c r="E700" s="5">
        <v>5</v>
      </c>
      <c r="F700" s="5">
        <v>34</v>
      </c>
      <c r="G700" s="6">
        <v>7000</v>
      </c>
      <c r="H700" s="6">
        <v>47600</v>
      </c>
      <c r="I700" s="5" t="s">
        <v>11</v>
      </c>
    </row>
    <row r="701" spans="1:9" ht="15.75" x14ac:dyDescent="0.25">
      <c r="A701" s="3" t="s">
        <v>21</v>
      </c>
      <c r="B701" s="8" t="s">
        <v>54</v>
      </c>
      <c r="C701" s="5" t="s">
        <v>79</v>
      </c>
      <c r="D701" s="5" t="s">
        <v>82</v>
      </c>
      <c r="E701" s="5">
        <v>45</v>
      </c>
      <c r="F701" s="5">
        <v>49</v>
      </c>
      <c r="G701" s="6">
        <v>56250</v>
      </c>
      <c r="H701" s="6">
        <v>61250</v>
      </c>
      <c r="I701" s="5" t="s">
        <v>11</v>
      </c>
    </row>
    <row r="702" spans="1:9" ht="15.75" x14ac:dyDescent="0.25">
      <c r="A702" s="3" t="s">
        <v>21</v>
      </c>
      <c r="B702" s="8" t="s">
        <v>54</v>
      </c>
      <c r="C702" s="5" t="s">
        <v>79</v>
      </c>
      <c r="D702" s="5" t="s">
        <v>83</v>
      </c>
      <c r="E702" s="5">
        <v>15</v>
      </c>
      <c r="F702" s="5">
        <v>56</v>
      </c>
      <c r="G702" s="6">
        <v>127500</v>
      </c>
      <c r="H702" s="6">
        <v>476000</v>
      </c>
      <c r="I702" s="5" t="s">
        <v>11</v>
      </c>
    </row>
    <row r="703" spans="1:9" ht="15.75" x14ac:dyDescent="0.25">
      <c r="A703" s="3" t="s">
        <v>21</v>
      </c>
      <c r="B703" s="8" t="s">
        <v>54</v>
      </c>
      <c r="C703" s="5" t="s">
        <v>79</v>
      </c>
      <c r="D703" s="5" t="s">
        <v>84</v>
      </c>
      <c r="E703" s="5">
        <v>23</v>
      </c>
      <c r="F703" s="5">
        <v>80</v>
      </c>
      <c r="G703" s="6">
        <v>32200</v>
      </c>
      <c r="H703" s="6">
        <v>112000</v>
      </c>
      <c r="I703" s="5" t="s">
        <v>11</v>
      </c>
    </row>
    <row r="704" spans="1:9" ht="15.75" x14ac:dyDescent="0.25">
      <c r="A704" s="3" t="s">
        <v>21</v>
      </c>
      <c r="B704" s="8" t="s">
        <v>52</v>
      </c>
      <c r="C704" s="5" t="s">
        <v>77</v>
      </c>
      <c r="D704" s="5" t="s">
        <v>82</v>
      </c>
      <c r="E704" s="5">
        <v>48</v>
      </c>
      <c r="F704" s="5">
        <v>71</v>
      </c>
      <c r="G704" s="6">
        <v>60000</v>
      </c>
      <c r="H704" s="6">
        <v>88750</v>
      </c>
      <c r="I704" s="5" t="s">
        <v>3</v>
      </c>
    </row>
    <row r="705" spans="1:9" ht="15.75" x14ac:dyDescent="0.25">
      <c r="A705" s="3" t="s">
        <v>21</v>
      </c>
      <c r="B705" s="8" t="s">
        <v>52</v>
      </c>
      <c r="C705" s="5" t="s">
        <v>77</v>
      </c>
      <c r="D705" s="5" t="s">
        <v>83</v>
      </c>
      <c r="E705" s="5">
        <v>17</v>
      </c>
      <c r="F705" s="5">
        <v>29</v>
      </c>
      <c r="G705" s="6">
        <v>144500</v>
      </c>
      <c r="H705" s="6">
        <v>246500</v>
      </c>
      <c r="I705" s="5" t="s">
        <v>3</v>
      </c>
    </row>
    <row r="706" spans="1:9" ht="15.75" x14ac:dyDescent="0.25">
      <c r="A706" s="3" t="s">
        <v>21</v>
      </c>
      <c r="B706" s="8" t="s">
        <v>52</v>
      </c>
      <c r="C706" s="5" t="s">
        <v>77</v>
      </c>
      <c r="D706" s="5" t="s">
        <v>84</v>
      </c>
      <c r="E706" s="5">
        <v>73</v>
      </c>
      <c r="F706" s="5">
        <v>88</v>
      </c>
      <c r="G706" s="6">
        <v>102200</v>
      </c>
      <c r="H706" s="6">
        <v>123200</v>
      </c>
      <c r="I706" s="5" t="s">
        <v>3</v>
      </c>
    </row>
    <row r="707" spans="1:9" ht="15.75" x14ac:dyDescent="0.25">
      <c r="A707" s="3" t="s">
        <v>21</v>
      </c>
      <c r="B707" s="8" t="s">
        <v>53</v>
      </c>
      <c r="C707" s="5" t="s">
        <v>78</v>
      </c>
      <c r="D707" s="5" t="s">
        <v>82</v>
      </c>
      <c r="E707" s="5">
        <v>31</v>
      </c>
      <c r="F707" s="5">
        <v>57</v>
      </c>
      <c r="G707" s="6">
        <v>38750</v>
      </c>
      <c r="H707" s="6">
        <v>71250</v>
      </c>
      <c r="I707" s="5" t="s">
        <v>3</v>
      </c>
    </row>
    <row r="708" spans="1:9" ht="15.75" x14ac:dyDescent="0.25">
      <c r="A708" s="3" t="s">
        <v>21</v>
      </c>
      <c r="B708" s="8" t="s">
        <v>53</v>
      </c>
      <c r="C708" s="5" t="s">
        <v>78</v>
      </c>
      <c r="D708" s="5" t="s">
        <v>83</v>
      </c>
      <c r="E708" s="5">
        <v>15</v>
      </c>
      <c r="F708" s="5">
        <v>44</v>
      </c>
      <c r="G708" s="6">
        <v>127500</v>
      </c>
      <c r="H708" s="6">
        <v>374000</v>
      </c>
      <c r="I708" s="5" t="s">
        <v>3</v>
      </c>
    </row>
    <row r="709" spans="1:9" ht="15.75" x14ac:dyDescent="0.25">
      <c r="A709" s="3" t="s">
        <v>21</v>
      </c>
      <c r="B709" s="8" t="s">
        <v>53</v>
      </c>
      <c r="C709" s="5" t="s">
        <v>78</v>
      </c>
      <c r="D709" s="5" t="s">
        <v>84</v>
      </c>
      <c r="E709" s="5">
        <v>16</v>
      </c>
      <c r="F709" s="5">
        <v>39</v>
      </c>
      <c r="G709" s="6">
        <v>22400</v>
      </c>
      <c r="H709" s="6">
        <v>54600</v>
      </c>
      <c r="I709" s="5" t="s">
        <v>3</v>
      </c>
    </row>
    <row r="710" spans="1:9" ht="15.75" x14ac:dyDescent="0.25">
      <c r="A710" s="3" t="s">
        <v>21</v>
      </c>
      <c r="B710" s="8" t="s">
        <v>54</v>
      </c>
      <c r="C710" s="5" t="s">
        <v>79</v>
      </c>
      <c r="D710" s="5" t="s">
        <v>82</v>
      </c>
      <c r="E710" s="5">
        <v>11</v>
      </c>
      <c r="F710" s="5">
        <v>19</v>
      </c>
      <c r="G710" s="6">
        <v>13750</v>
      </c>
      <c r="H710" s="6">
        <v>23750</v>
      </c>
      <c r="I710" s="5" t="s">
        <v>3</v>
      </c>
    </row>
    <row r="711" spans="1:9" ht="15.75" x14ac:dyDescent="0.25">
      <c r="A711" s="3" t="s">
        <v>21</v>
      </c>
      <c r="B711" s="8" t="s">
        <v>54</v>
      </c>
      <c r="C711" s="5" t="s">
        <v>79</v>
      </c>
      <c r="D711" s="5" t="s">
        <v>83</v>
      </c>
      <c r="E711" s="5">
        <v>2</v>
      </c>
      <c r="F711" s="5">
        <v>14</v>
      </c>
      <c r="G711" s="6">
        <v>17000</v>
      </c>
      <c r="H711" s="6">
        <v>119000</v>
      </c>
      <c r="I711" s="5" t="s">
        <v>3</v>
      </c>
    </row>
    <row r="712" spans="1:9" ht="15.75" x14ac:dyDescent="0.25">
      <c r="A712" s="3" t="s">
        <v>21</v>
      </c>
      <c r="B712" s="8" t="s">
        <v>54</v>
      </c>
      <c r="C712" s="5" t="s">
        <v>79</v>
      </c>
      <c r="D712" s="5" t="s">
        <v>84</v>
      </c>
      <c r="E712" s="5">
        <v>14</v>
      </c>
      <c r="F712" s="5">
        <v>29</v>
      </c>
      <c r="G712" s="6">
        <v>19600</v>
      </c>
      <c r="H712" s="6">
        <v>40600</v>
      </c>
      <c r="I712" s="5" t="s">
        <v>3</v>
      </c>
    </row>
    <row r="713" spans="1:9" ht="15.75" x14ac:dyDescent="0.25">
      <c r="A713" s="3" t="s">
        <v>21</v>
      </c>
      <c r="B713" s="8" t="s">
        <v>52</v>
      </c>
      <c r="C713" s="5" t="s">
        <v>77</v>
      </c>
      <c r="D713" s="5" t="s">
        <v>82</v>
      </c>
      <c r="E713" s="5">
        <v>15</v>
      </c>
      <c r="F713" s="5">
        <v>40</v>
      </c>
      <c r="G713" s="6">
        <v>18750</v>
      </c>
      <c r="H713" s="6">
        <v>50000</v>
      </c>
      <c r="I713" s="5" t="s">
        <v>5</v>
      </c>
    </row>
    <row r="714" spans="1:9" ht="15.75" x14ac:dyDescent="0.25">
      <c r="A714" s="3" t="s">
        <v>21</v>
      </c>
      <c r="B714" s="8" t="s">
        <v>52</v>
      </c>
      <c r="C714" s="5" t="s">
        <v>77</v>
      </c>
      <c r="D714" s="5" t="s">
        <v>83</v>
      </c>
      <c r="E714" s="5">
        <v>16</v>
      </c>
      <c r="F714" s="5">
        <v>94</v>
      </c>
      <c r="G714" s="6">
        <v>136000</v>
      </c>
      <c r="H714" s="6">
        <v>799000</v>
      </c>
      <c r="I714" s="5" t="s">
        <v>5</v>
      </c>
    </row>
    <row r="715" spans="1:9" ht="15.75" x14ac:dyDescent="0.25">
      <c r="A715" s="3" t="s">
        <v>21</v>
      </c>
      <c r="B715" s="8" t="s">
        <v>52</v>
      </c>
      <c r="C715" s="5" t="s">
        <v>77</v>
      </c>
      <c r="D715" s="5" t="s">
        <v>84</v>
      </c>
      <c r="E715" s="5">
        <v>24</v>
      </c>
      <c r="F715" s="5">
        <v>63</v>
      </c>
      <c r="G715" s="6">
        <v>33600</v>
      </c>
      <c r="H715" s="6">
        <v>88200</v>
      </c>
      <c r="I715" s="5" t="s">
        <v>5</v>
      </c>
    </row>
    <row r="716" spans="1:9" ht="15.75" x14ac:dyDescent="0.25">
      <c r="A716" s="3" t="s">
        <v>21</v>
      </c>
      <c r="B716" s="8" t="s">
        <v>53</v>
      </c>
      <c r="C716" s="5" t="s">
        <v>78</v>
      </c>
      <c r="D716" s="5" t="s">
        <v>82</v>
      </c>
      <c r="E716" s="5">
        <v>10</v>
      </c>
      <c r="F716" s="5">
        <v>17</v>
      </c>
      <c r="G716" s="6">
        <v>12500</v>
      </c>
      <c r="H716" s="6">
        <v>21250</v>
      </c>
      <c r="I716" s="5" t="s">
        <v>5</v>
      </c>
    </row>
    <row r="717" spans="1:9" ht="15.75" x14ac:dyDescent="0.25">
      <c r="A717" s="3" t="s">
        <v>21</v>
      </c>
      <c r="B717" s="8" t="s">
        <v>53</v>
      </c>
      <c r="C717" s="5" t="s">
        <v>78</v>
      </c>
      <c r="D717" s="5" t="s">
        <v>83</v>
      </c>
      <c r="E717" s="5">
        <v>38</v>
      </c>
      <c r="F717" s="5">
        <v>40</v>
      </c>
      <c r="G717" s="6">
        <v>323000</v>
      </c>
      <c r="H717" s="6">
        <v>340000</v>
      </c>
      <c r="I717" s="5" t="s">
        <v>5</v>
      </c>
    </row>
    <row r="718" spans="1:9" ht="15.75" x14ac:dyDescent="0.25">
      <c r="A718" s="3" t="s">
        <v>21</v>
      </c>
      <c r="B718" s="8" t="s">
        <v>53</v>
      </c>
      <c r="C718" s="5" t="s">
        <v>78</v>
      </c>
      <c r="D718" s="5" t="s">
        <v>84</v>
      </c>
      <c r="E718" s="5">
        <v>22</v>
      </c>
      <c r="F718" s="5">
        <v>38</v>
      </c>
      <c r="G718" s="6">
        <v>30800</v>
      </c>
      <c r="H718" s="6">
        <v>53200</v>
      </c>
      <c r="I718" s="5" t="s">
        <v>5</v>
      </c>
    </row>
    <row r="719" spans="1:9" ht="15.75" x14ac:dyDescent="0.25">
      <c r="A719" s="3" t="s">
        <v>21</v>
      </c>
      <c r="B719" s="8" t="s">
        <v>54</v>
      </c>
      <c r="C719" s="5" t="s">
        <v>79</v>
      </c>
      <c r="D719" s="5" t="s">
        <v>82</v>
      </c>
      <c r="E719" s="5">
        <v>3</v>
      </c>
      <c r="F719" s="5">
        <v>5</v>
      </c>
      <c r="G719" s="6">
        <v>3750</v>
      </c>
      <c r="H719" s="6">
        <v>6250</v>
      </c>
      <c r="I719" s="5" t="s">
        <v>5</v>
      </c>
    </row>
    <row r="720" spans="1:9" ht="15.75" x14ac:dyDescent="0.25">
      <c r="A720" s="3" t="s">
        <v>21</v>
      </c>
      <c r="B720" s="8" t="s">
        <v>54</v>
      </c>
      <c r="C720" s="5" t="s">
        <v>79</v>
      </c>
      <c r="D720" s="5" t="s">
        <v>83</v>
      </c>
      <c r="E720" s="5">
        <v>14</v>
      </c>
      <c r="F720" s="5">
        <v>15</v>
      </c>
      <c r="G720" s="6">
        <v>119000</v>
      </c>
      <c r="H720" s="6">
        <v>127500</v>
      </c>
      <c r="I720" s="5" t="s">
        <v>5</v>
      </c>
    </row>
    <row r="721" spans="1:9" ht="15.75" x14ac:dyDescent="0.25">
      <c r="A721" s="3" t="s">
        <v>21</v>
      </c>
      <c r="B721" s="8" t="s">
        <v>54</v>
      </c>
      <c r="C721" s="5" t="s">
        <v>79</v>
      </c>
      <c r="D721" s="5" t="s">
        <v>84</v>
      </c>
      <c r="E721" s="5">
        <v>31</v>
      </c>
      <c r="F721" s="5">
        <v>88</v>
      </c>
      <c r="G721" s="6">
        <v>43400</v>
      </c>
      <c r="H721" s="6">
        <v>123200</v>
      </c>
      <c r="I721" s="5" t="s">
        <v>5</v>
      </c>
    </row>
    <row r="722" spans="1:9" ht="15.75" x14ac:dyDescent="0.25">
      <c r="A722" s="3" t="s">
        <v>21</v>
      </c>
      <c r="B722" s="8" t="s">
        <v>52</v>
      </c>
      <c r="C722" s="5" t="s">
        <v>77</v>
      </c>
      <c r="D722" s="5" t="s">
        <v>82</v>
      </c>
      <c r="E722" s="5">
        <v>28</v>
      </c>
      <c r="F722" s="5">
        <v>45</v>
      </c>
      <c r="G722" s="6">
        <v>35000</v>
      </c>
      <c r="H722" s="6">
        <v>56250</v>
      </c>
      <c r="I722" s="5" t="s">
        <v>4</v>
      </c>
    </row>
    <row r="723" spans="1:9" ht="15.75" x14ac:dyDescent="0.25">
      <c r="A723" s="3" t="s">
        <v>21</v>
      </c>
      <c r="B723" s="8" t="s">
        <v>52</v>
      </c>
      <c r="C723" s="5" t="s">
        <v>77</v>
      </c>
      <c r="D723" s="5" t="s">
        <v>83</v>
      </c>
      <c r="E723" s="5">
        <v>12</v>
      </c>
      <c r="F723" s="5">
        <v>36</v>
      </c>
      <c r="G723" s="6">
        <v>102000</v>
      </c>
      <c r="H723" s="6">
        <v>306000</v>
      </c>
      <c r="I723" s="5" t="s">
        <v>4</v>
      </c>
    </row>
    <row r="724" spans="1:9" ht="15.75" x14ac:dyDescent="0.25">
      <c r="A724" s="3" t="s">
        <v>21</v>
      </c>
      <c r="B724" s="8" t="s">
        <v>52</v>
      </c>
      <c r="C724" s="5" t="s">
        <v>77</v>
      </c>
      <c r="D724" s="5" t="s">
        <v>84</v>
      </c>
      <c r="E724" s="5">
        <v>58</v>
      </c>
      <c r="F724" s="5">
        <v>92</v>
      </c>
      <c r="G724" s="6">
        <v>81200</v>
      </c>
      <c r="H724" s="6">
        <v>128800</v>
      </c>
      <c r="I724" s="5" t="s">
        <v>4</v>
      </c>
    </row>
    <row r="725" spans="1:9" ht="15.75" x14ac:dyDescent="0.25">
      <c r="A725" s="3" t="s">
        <v>21</v>
      </c>
      <c r="B725" s="8" t="s">
        <v>53</v>
      </c>
      <c r="C725" s="5" t="s">
        <v>78</v>
      </c>
      <c r="D725" s="5" t="s">
        <v>82</v>
      </c>
      <c r="E725" s="5">
        <v>8</v>
      </c>
      <c r="F725" s="5">
        <v>26</v>
      </c>
      <c r="G725" s="6">
        <v>10000</v>
      </c>
      <c r="H725" s="6">
        <v>32500</v>
      </c>
      <c r="I725" s="5" t="s">
        <v>4</v>
      </c>
    </row>
    <row r="726" spans="1:9" ht="15.75" x14ac:dyDescent="0.25">
      <c r="A726" s="3" t="s">
        <v>21</v>
      </c>
      <c r="B726" s="8" t="s">
        <v>53</v>
      </c>
      <c r="C726" s="5" t="s">
        <v>78</v>
      </c>
      <c r="D726" s="5" t="s">
        <v>83</v>
      </c>
      <c r="E726" s="5">
        <v>4</v>
      </c>
      <c r="F726" s="5">
        <v>5</v>
      </c>
      <c r="G726" s="6">
        <v>34000</v>
      </c>
      <c r="H726" s="6">
        <v>42500</v>
      </c>
      <c r="I726" s="5" t="s">
        <v>4</v>
      </c>
    </row>
    <row r="727" spans="1:9" ht="15.75" x14ac:dyDescent="0.25">
      <c r="A727" s="3" t="s">
        <v>21</v>
      </c>
      <c r="B727" s="8" t="s">
        <v>53</v>
      </c>
      <c r="C727" s="5" t="s">
        <v>78</v>
      </c>
      <c r="D727" s="5" t="s">
        <v>84</v>
      </c>
      <c r="E727" s="5">
        <v>19</v>
      </c>
      <c r="F727" s="5">
        <v>62</v>
      </c>
      <c r="G727" s="6">
        <v>26600</v>
      </c>
      <c r="H727" s="6">
        <v>86800</v>
      </c>
      <c r="I727" s="5" t="s">
        <v>4</v>
      </c>
    </row>
    <row r="728" spans="1:9" ht="15.75" x14ac:dyDescent="0.25">
      <c r="A728" s="3" t="s">
        <v>21</v>
      </c>
      <c r="B728" s="8" t="s">
        <v>54</v>
      </c>
      <c r="C728" s="5" t="s">
        <v>79</v>
      </c>
      <c r="D728" s="5" t="s">
        <v>82</v>
      </c>
      <c r="E728" s="5">
        <v>4</v>
      </c>
      <c r="F728" s="5">
        <v>19</v>
      </c>
      <c r="G728" s="6">
        <v>5000</v>
      </c>
      <c r="H728" s="6">
        <v>23750</v>
      </c>
      <c r="I728" s="5" t="s">
        <v>4</v>
      </c>
    </row>
    <row r="729" spans="1:9" ht="15.75" x14ac:dyDescent="0.25">
      <c r="A729" s="3" t="s">
        <v>21</v>
      </c>
      <c r="B729" s="8" t="s">
        <v>54</v>
      </c>
      <c r="C729" s="5" t="s">
        <v>79</v>
      </c>
      <c r="D729" s="5" t="s">
        <v>83</v>
      </c>
      <c r="E729" s="5">
        <v>4</v>
      </c>
      <c r="F729" s="5">
        <v>32</v>
      </c>
      <c r="G729" s="6">
        <v>34000</v>
      </c>
      <c r="H729" s="6">
        <v>272000</v>
      </c>
      <c r="I729" s="5" t="s">
        <v>4</v>
      </c>
    </row>
    <row r="730" spans="1:9" ht="15.75" x14ac:dyDescent="0.25">
      <c r="A730" s="3" t="s">
        <v>21</v>
      </c>
      <c r="B730" s="8" t="s">
        <v>54</v>
      </c>
      <c r="C730" s="5" t="s">
        <v>79</v>
      </c>
      <c r="D730" s="5" t="s">
        <v>84</v>
      </c>
      <c r="E730" s="5">
        <v>3</v>
      </c>
      <c r="F730" s="5">
        <v>11</v>
      </c>
      <c r="G730" s="6">
        <v>4200</v>
      </c>
      <c r="H730" s="6">
        <v>15400</v>
      </c>
      <c r="I730" s="5" t="s">
        <v>4</v>
      </c>
    </row>
    <row r="731" spans="1:9" ht="15.75" x14ac:dyDescent="0.25">
      <c r="A731" s="3" t="s">
        <v>21</v>
      </c>
      <c r="B731" s="8" t="s">
        <v>52</v>
      </c>
      <c r="C731" s="5" t="s">
        <v>77</v>
      </c>
      <c r="D731" s="5" t="s">
        <v>82</v>
      </c>
      <c r="E731" s="5">
        <v>92</v>
      </c>
      <c r="F731" s="5">
        <v>122</v>
      </c>
      <c r="G731" s="6">
        <v>115000</v>
      </c>
      <c r="H731" s="6">
        <v>152500</v>
      </c>
      <c r="I731" s="5" t="s">
        <v>1</v>
      </c>
    </row>
    <row r="732" spans="1:9" ht="15.75" x14ac:dyDescent="0.25">
      <c r="A732" s="3" t="s">
        <v>21</v>
      </c>
      <c r="B732" s="8" t="s">
        <v>52</v>
      </c>
      <c r="C732" s="5" t="s">
        <v>77</v>
      </c>
      <c r="D732" s="5" t="s">
        <v>83</v>
      </c>
      <c r="E732" s="5">
        <v>17</v>
      </c>
      <c r="F732" s="5">
        <v>38</v>
      </c>
      <c r="G732" s="6">
        <v>144500</v>
      </c>
      <c r="H732" s="6">
        <v>323000</v>
      </c>
      <c r="I732" s="5" t="s">
        <v>1</v>
      </c>
    </row>
    <row r="733" spans="1:9" ht="15.75" x14ac:dyDescent="0.25">
      <c r="A733" s="3" t="s">
        <v>21</v>
      </c>
      <c r="B733" s="8" t="s">
        <v>52</v>
      </c>
      <c r="C733" s="5" t="s">
        <v>77</v>
      </c>
      <c r="D733" s="5" t="s">
        <v>84</v>
      </c>
      <c r="E733" s="5">
        <v>11</v>
      </c>
      <c r="F733" s="5">
        <v>119</v>
      </c>
      <c r="G733" s="6">
        <v>15400</v>
      </c>
      <c r="H733" s="6">
        <v>166600</v>
      </c>
      <c r="I733" s="5" t="s">
        <v>1</v>
      </c>
    </row>
    <row r="734" spans="1:9" ht="15.75" x14ac:dyDescent="0.25">
      <c r="A734" s="3" t="s">
        <v>21</v>
      </c>
      <c r="B734" s="8" t="s">
        <v>53</v>
      </c>
      <c r="C734" s="5" t="s">
        <v>78</v>
      </c>
      <c r="D734" s="5" t="s">
        <v>82</v>
      </c>
      <c r="E734" s="5">
        <v>34</v>
      </c>
      <c r="F734" s="5">
        <v>78</v>
      </c>
      <c r="G734" s="6">
        <v>42500</v>
      </c>
      <c r="H734" s="6">
        <v>97500</v>
      </c>
      <c r="I734" s="5" t="s">
        <v>1</v>
      </c>
    </row>
    <row r="735" spans="1:9" ht="15.75" x14ac:dyDescent="0.25">
      <c r="A735" s="3" t="s">
        <v>21</v>
      </c>
      <c r="B735" s="8" t="s">
        <v>53</v>
      </c>
      <c r="C735" s="5" t="s">
        <v>78</v>
      </c>
      <c r="D735" s="5" t="s">
        <v>83</v>
      </c>
      <c r="E735" s="5">
        <v>28</v>
      </c>
      <c r="F735" s="5">
        <v>29</v>
      </c>
      <c r="G735" s="6">
        <v>238000</v>
      </c>
      <c r="H735" s="6">
        <v>246500</v>
      </c>
      <c r="I735" s="5" t="s">
        <v>1</v>
      </c>
    </row>
    <row r="736" spans="1:9" ht="15.75" x14ac:dyDescent="0.25">
      <c r="A736" s="3" t="s">
        <v>21</v>
      </c>
      <c r="B736" s="8" t="s">
        <v>53</v>
      </c>
      <c r="C736" s="5" t="s">
        <v>78</v>
      </c>
      <c r="D736" s="5" t="s">
        <v>84</v>
      </c>
      <c r="E736" s="5">
        <v>42</v>
      </c>
      <c r="F736" s="5">
        <v>48</v>
      </c>
      <c r="G736" s="6">
        <v>58800</v>
      </c>
      <c r="H736" s="6">
        <v>67200</v>
      </c>
      <c r="I736" s="5" t="s">
        <v>1</v>
      </c>
    </row>
    <row r="737" spans="1:9" ht="15.75" x14ac:dyDescent="0.25">
      <c r="A737" s="3" t="s">
        <v>21</v>
      </c>
      <c r="B737" s="8" t="s">
        <v>54</v>
      </c>
      <c r="C737" s="5" t="s">
        <v>79</v>
      </c>
      <c r="D737" s="5" t="s">
        <v>82</v>
      </c>
      <c r="E737" s="5">
        <v>13</v>
      </c>
      <c r="F737" s="5">
        <v>57</v>
      </c>
      <c r="G737" s="6">
        <v>16250</v>
      </c>
      <c r="H737" s="6">
        <v>71250</v>
      </c>
      <c r="I737" s="5" t="s">
        <v>1</v>
      </c>
    </row>
    <row r="738" spans="1:9" ht="15.75" x14ac:dyDescent="0.25">
      <c r="A738" s="3" t="s">
        <v>21</v>
      </c>
      <c r="B738" s="8" t="s">
        <v>54</v>
      </c>
      <c r="C738" s="5" t="s">
        <v>79</v>
      </c>
      <c r="D738" s="5" t="s">
        <v>83</v>
      </c>
      <c r="E738" s="5">
        <v>17</v>
      </c>
      <c r="F738" s="5">
        <v>28</v>
      </c>
      <c r="G738" s="6">
        <v>144500</v>
      </c>
      <c r="H738" s="6">
        <v>238000</v>
      </c>
      <c r="I738" s="5" t="s">
        <v>1</v>
      </c>
    </row>
    <row r="739" spans="1:9" ht="15.75" x14ac:dyDescent="0.25">
      <c r="A739" s="3" t="s">
        <v>21</v>
      </c>
      <c r="B739" s="8" t="s">
        <v>54</v>
      </c>
      <c r="C739" s="5" t="s">
        <v>79</v>
      </c>
      <c r="D739" s="5" t="s">
        <v>84</v>
      </c>
      <c r="E739" s="5">
        <v>22</v>
      </c>
      <c r="F739" s="5">
        <v>42</v>
      </c>
      <c r="G739" s="6">
        <v>30800</v>
      </c>
      <c r="H739" s="6">
        <v>58800</v>
      </c>
      <c r="I739" s="5" t="s">
        <v>1</v>
      </c>
    </row>
    <row r="740" spans="1:9" ht="15.75" x14ac:dyDescent="0.25">
      <c r="A740" s="3" t="s">
        <v>21</v>
      </c>
      <c r="B740" s="8" t="s">
        <v>52</v>
      </c>
      <c r="C740" s="5" t="s">
        <v>77</v>
      </c>
      <c r="D740" s="5" t="s">
        <v>82</v>
      </c>
      <c r="E740" s="5">
        <v>97</v>
      </c>
      <c r="F740" s="5">
        <v>107</v>
      </c>
      <c r="G740" s="6">
        <v>121250</v>
      </c>
      <c r="H740" s="6">
        <v>133750</v>
      </c>
      <c r="I740" s="5" t="s">
        <v>2</v>
      </c>
    </row>
    <row r="741" spans="1:9" ht="15.75" x14ac:dyDescent="0.25">
      <c r="A741" s="3" t="s">
        <v>21</v>
      </c>
      <c r="B741" s="8" t="s">
        <v>52</v>
      </c>
      <c r="C741" s="5" t="s">
        <v>77</v>
      </c>
      <c r="D741" s="5" t="s">
        <v>83</v>
      </c>
      <c r="E741" s="5">
        <v>3</v>
      </c>
      <c r="F741" s="5">
        <v>5</v>
      </c>
      <c r="G741" s="6">
        <v>25500</v>
      </c>
      <c r="H741" s="6">
        <v>42500</v>
      </c>
      <c r="I741" s="5" t="s">
        <v>2</v>
      </c>
    </row>
    <row r="742" spans="1:9" ht="15.75" x14ac:dyDescent="0.25">
      <c r="A742" s="3" t="s">
        <v>21</v>
      </c>
      <c r="B742" s="8" t="s">
        <v>52</v>
      </c>
      <c r="C742" s="5" t="s">
        <v>77</v>
      </c>
      <c r="D742" s="5" t="s">
        <v>84</v>
      </c>
      <c r="E742" s="5">
        <v>12</v>
      </c>
      <c r="F742" s="5">
        <v>23</v>
      </c>
      <c r="G742" s="6">
        <v>16800</v>
      </c>
      <c r="H742" s="6">
        <v>32200</v>
      </c>
      <c r="I742" s="5" t="s">
        <v>2</v>
      </c>
    </row>
    <row r="743" spans="1:9" ht="15.75" x14ac:dyDescent="0.25">
      <c r="A743" s="3" t="s">
        <v>21</v>
      </c>
      <c r="B743" s="8" t="s">
        <v>53</v>
      </c>
      <c r="C743" s="5" t="s">
        <v>78</v>
      </c>
      <c r="D743" s="5" t="s">
        <v>82</v>
      </c>
      <c r="E743" s="5">
        <v>53</v>
      </c>
      <c r="F743" s="5">
        <v>90</v>
      </c>
      <c r="G743" s="6">
        <v>66250</v>
      </c>
      <c r="H743" s="6">
        <v>112500</v>
      </c>
      <c r="I743" s="5" t="s">
        <v>2</v>
      </c>
    </row>
    <row r="744" spans="1:9" ht="15.75" x14ac:dyDescent="0.25">
      <c r="A744" s="3" t="s">
        <v>21</v>
      </c>
      <c r="B744" s="8" t="s">
        <v>53</v>
      </c>
      <c r="C744" s="5" t="s">
        <v>78</v>
      </c>
      <c r="D744" s="5" t="s">
        <v>83</v>
      </c>
      <c r="E744" s="5">
        <v>37</v>
      </c>
      <c r="F744" s="5">
        <v>61</v>
      </c>
      <c r="G744" s="6">
        <v>314500</v>
      </c>
      <c r="H744" s="6">
        <v>518500</v>
      </c>
      <c r="I744" s="5" t="s">
        <v>2</v>
      </c>
    </row>
    <row r="745" spans="1:9" ht="15.75" x14ac:dyDescent="0.25">
      <c r="A745" s="3" t="s">
        <v>21</v>
      </c>
      <c r="B745" s="8" t="s">
        <v>53</v>
      </c>
      <c r="C745" s="5" t="s">
        <v>78</v>
      </c>
      <c r="D745" s="5" t="s">
        <v>84</v>
      </c>
      <c r="E745" s="5">
        <v>33</v>
      </c>
      <c r="F745" s="5">
        <v>135</v>
      </c>
      <c r="G745" s="6">
        <v>46200</v>
      </c>
      <c r="H745" s="6">
        <v>189000</v>
      </c>
      <c r="I745" s="5" t="s">
        <v>2</v>
      </c>
    </row>
    <row r="746" spans="1:9" ht="15.75" x14ac:dyDescent="0.25">
      <c r="A746" s="3" t="s">
        <v>21</v>
      </c>
      <c r="B746" s="8" t="s">
        <v>54</v>
      </c>
      <c r="C746" s="5" t="s">
        <v>79</v>
      </c>
      <c r="D746" s="5" t="s">
        <v>82</v>
      </c>
      <c r="E746" s="5">
        <v>57</v>
      </c>
      <c r="F746" s="5">
        <v>148</v>
      </c>
      <c r="G746" s="6">
        <v>71250</v>
      </c>
      <c r="H746" s="6">
        <v>185000</v>
      </c>
      <c r="I746" s="5" t="s">
        <v>2</v>
      </c>
    </row>
    <row r="747" spans="1:9" ht="15.75" x14ac:dyDescent="0.25">
      <c r="A747" s="3" t="s">
        <v>21</v>
      </c>
      <c r="B747" s="8" t="s">
        <v>54</v>
      </c>
      <c r="C747" s="5" t="s">
        <v>79</v>
      </c>
      <c r="D747" s="5" t="s">
        <v>83</v>
      </c>
      <c r="E747" s="5">
        <v>2</v>
      </c>
      <c r="F747" s="5">
        <v>10</v>
      </c>
      <c r="G747" s="6">
        <v>17000</v>
      </c>
      <c r="H747" s="6">
        <v>85000</v>
      </c>
      <c r="I747" s="5" t="s">
        <v>2</v>
      </c>
    </row>
    <row r="748" spans="1:9" ht="15.75" x14ac:dyDescent="0.25">
      <c r="A748" s="3" t="s">
        <v>21</v>
      </c>
      <c r="B748" s="8" t="s">
        <v>54</v>
      </c>
      <c r="C748" s="5" t="s">
        <v>79</v>
      </c>
      <c r="D748" s="5" t="s">
        <v>84</v>
      </c>
      <c r="E748" s="5">
        <v>4</v>
      </c>
      <c r="F748" s="5">
        <v>9</v>
      </c>
      <c r="G748" s="6">
        <v>5600</v>
      </c>
      <c r="H748" s="6">
        <v>12600</v>
      </c>
      <c r="I748" s="5" t="s">
        <v>2</v>
      </c>
    </row>
    <row r="749" spans="1:9" ht="15.75" x14ac:dyDescent="0.25">
      <c r="A749" s="3" t="s">
        <v>21</v>
      </c>
      <c r="B749" s="8" t="s">
        <v>52</v>
      </c>
      <c r="C749" s="5" t="s">
        <v>77</v>
      </c>
      <c r="D749" s="5" t="s">
        <v>82</v>
      </c>
      <c r="E749" s="5">
        <v>14</v>
      </c>
      <c r="F749" s="5">
        <v>37</v>
      </c>
      <c r="G749" s="6">
        <v>17500</v>
      </c>
      <c r="H749" s="6">
        <v>46250</v>
      </c>
      <c r="I749" s="5" t="s">
        <v>7</v>
      </c>
    </row>
    <row r="750" spans="1:9" ht="15.75" x14ac:dyDescent="0.25">
      <c r="A750" s="3" t="s">
        <v>21</v>
      </c>
      <c r="B750" s="8" t="s">
        <v>52</v>
      </c>
      <c r="C750" s="5" t="s">
        <v>77</v>
      </c>
      <c r="D750" s="5" t="s">
        <v>83</v>
      </c>
      <c r="E750" s="5">
        <v>17</v>
      </c>
      <c r="F750" s="5">
        <v>30</v>
      </c>
      <c r="G750" s="6">
        <v>144500</v>
      </c>
      <c r="H750" s="6">
        <v>255000</v>
      </c>
      <c r="I750" s="5" t="s">
        <v>7</v>
      </c>
    </row>
    <row r="751" spans="1:9" ht="15.75" x14ac:dyDescent="0.25">
      <c r="A751" s="3" t="s">
        <v>21</v>
      </c>
      <c r="B751" s="8" t="s">
        <v>52</v>
      </c>
      <c r="C751" s="5" t="s">
        <v>77</v>
      </c>
      <c r="D751" s="5" t="s">
        <v>84</v>
      </c>
      <c r="E751" s="5">
        <v>11</v>
      </c>
      <c r="F751" s="5">
        <v>20</v>
      </c>
      <c r="G751" s="6">
        <v>15400</v>
      </c>
      <c r="H751" s="6">
        <v>28000</v>
      </c>
      <c r="I751" s="5" t="s">
        <v>7</v>
      </c>
    </row>
    <row r="752" spans="1:9" ht="15.75" x14ac:dyDescent="0.25">
      <c r="A752" s="3" t="s">
        <v>21</v>
      </c>
      <c r="B752" s="8" t="s">
        <v>53</v>
      </c>
      <c r="C752" s="5" t="s">
        <v>78</v>
      </c>
      <c r="D752" s="5" t="s">
        <v>82</v>
      </c>
      <c r="E752" s="5">
        <v>13</v>
      </c>
      <c r="F752" s="5">
        <v>52</v>
      </c>
      <c r="G752" s="6">
        <v>16250</v>
      </c>
      <c r="H752" s="6">
        <v>65000</v>
      </c>
      <c r="I752" s="5" t="s">
        <v>7</v>
      </c>
    </row>
    <row r="753" spans="1:9" ht="15.75" x14ac:dyDescent="0.25">
      <c r="A753" s="3" t="s">
        <v>21</v>
      </c>
      <c r="B753" s="8" t="s">
        <v>53</v>
      </c>
      <c r="C753" s="5" t="s">
        <v>78</v>
      </c>
      <c r="D753" s="5" t="s">
        <v>83</v>
      </c>
      <c r="E753" s="5">
        <v>13</v>
      </c>
      <c r="F753" s="5">
        <v>22</v>
      </c>
      <c r="G753" s="6">
        <v>110500</v>
      </c>
      <c r="H753" s="6">
        <v>187000</v>
      </c>
      <c r="I753" s="5" t="s">
        <v>7</v>
      </c>
    </row>
    <row r="754" spans="1:9" ht="15.75" x14ac:dyDescent="0.25">
      <c r="A754" s="3" t="s">
        <v>21</v>
      </c>
      <c r="B754" s="8" t="s">
        <v>53</v>
      </c>
      <c r="C754" s="5" t="s">
        <v>78</v>
      </c>
      <c r="D754" s="5" t="s">
        <v>84</v>
      </c>
      <c r="E754" s="5">
        <v>24</v>
      </c>
      <c r="F754" s="5">
        <v>51</v>
      </c>
      <c r="G754" s="6">
        <v>33600</v>
      </c>
      <c r="H754" s="6">
        <v>71400</v>
      </c>
      <c r="I754" s="5" t="s">
        <v>7</v>
      </c>
    </row>
    <row r="755" spans="1:9" ht="15.75" x14ac:dyDescent="0.25">
      <c r="A755" s="3" t="s">
        <v>21</v>
      </c>
      <c r="B755" s="8" t="s">
        <v>54</v>
      </c>
      <c r="C755" s="5" t="s">
        <v>79</v>
      </c>
      <c r="D755" s="5" t="s">
        <v>82</v>
      </c>
      <c r="E755" s="5">
        <v>50</v>
      </c>
      <c r="F755" s="5">
        <v>84</v>
      </c>
      <c r="G755" s="6">
        <v>62500</v>
      </c>
      <c r="H755" s="6">
        <v>105000</v>
      </c>
      <c r="I755" s="5" t="s">
        <v>7</v>
      </c>
    </row>
    <row r="756" spans="1:9" ht="15.75" x14ac:dyDescent="0.25">
      <c r="A756" s="3" t="s">
        <v>21</v>
      </c>
      <c r="B756" s="8" t="s">
        <v>54</v>
      </c>
      <c r="C756" s="5" t="s">
        <v>79</v>
      </c>
      <c r="D756" s="5" t="s">
        <v>83</v>
      </c>
      <c r="E756" s="5">
        <v>2</v>
      </c>
      <c r="F756" s="5">
        <v>15</v>
      </c>
      <c r="G756" s="6">
        <v>17000</v>
      </c>
      <c r="H756" s="6">
        <v>127500</v>
      </c>
      <c r="I756" s="5" t="s">
        <v>7</v>
      </c>
    </row>
    <row r="757" spans="1:9" ht="15.75" x14ac:dyDescent="0.25">
      <c r="A757" s="3" t="s">
        <v>21</v>
      </c>
      <c r="B757" s="8" t="s">
        <v>54</v>
      </c>
      <c r="C757" s="5" t="s">
        <v>79</v>
      </c>
      <c r="D757" s="5" t="s">
        <v>84</v>
      </c>
      <c r="E757" s="5">
        <v>13</v>
      </c>
      <c r="F757" s="5">
        <v>102</v>
      </c>
      <c r="G757" s="6">
        <v>18200</v>
      </c>
      <c r="H757" s="6">
        <v>142800</v>
      </c>
      <c r="I757" s="5" t="s">
        <v>7</v>
      </c>
    </row>
    <row r="758" spans="1:9" ht="15.75" x14ac:dyDescent="0.25">
      <c r="A758" s="3" t="s">
        <v>22</v>
      </c>
      <c r="B758" s="8" t="s">
        <v>55</v>
      </c>
      <c r="C758" s="5" t="s">
        <v>80</v>
      </c>
      <c r="D758" s="5" t="s">
        <v>82</v>
      </c>
      <c r="E758" s="5">
        <v>30</v>
      </c>
      <c r="F758" s="5">
        <v>65</v>
      </c>
      <c r="G758" s="6">
        <v>37500</v>
      </c>
      <c r="H758" s="6">
        <v>81250</v>
      </c>
      <c r="I758" s="5" t="s">
        <v>8</v>
      </c>
    </row>
    <row r="759" spans="1:9" ht="15.75" x14ac:dyDescent="0.25">
      <c r="A759" s="3" t="s">
        <v>22</v>
      </c>
      <c r="B759" s="8" t="s">
        <v>55</v>
      </c>
      <c r="C759" s="5" t="s">
        <v>80</v>
      </c>
      <c r="D759" s="5" t="s">
        <v>83</v>
      </c>
      <c r="E759" s="5">
        <v>5</v>
      </c>
      <c r="F759" s="5">
        <v>48</v>
      </c>
      <c r="G759" s="6">
        <v>42500</v>
      </c>
      <c r="H759" s="6">
        <v>408000</v>
      </c>
      <c r="I759" s="5" t="s">
        <v>8</v>
      </c>
    </row>
    <row r="760" spans="1:9" ht="15.75" x14ac:dyDescent="0.25">
      <c r="A760" s="3" t="s">
        <v>22</v>
      </c>
      <c r="B760" s="8" t="s">
        <v>55</v>
      </c>
      <c r="C760" s="5" t="s">
        <v>80</v>
      </c>
      <c r="D760" s="5" t="s">
        <v>84</v>
      </c>
      <c r="E760" s="5">
        <v>37</v>
      </c>
      <c r="F760" s="5">
        <v>52</v>
      </c>
      <c r="G760" s="6">
        <v>51800</v>
      </c>
      <c r="H760" s="6">
        <v>72800</v>
      </c>
      <c r="I760" s="5" t="s">
        <v>8</v>
      </c>
    </row>
    <row r="761" spans="1:9" ht="15.75" x14ac:dyDescent="0.25">
      <c r="A761" s="3" t="s">
        <v>22</v>
      </c>
      <c r="B761" s="8" t="s">
        <v>55</v>
      </c>
      <c r="C761" s="5" t="s">
        <v>80</v>
      </c>
      <c r="D761" s="5" t="s">
        <v>82</v>
      </c>
      <c r="E761" s="5">
        <v>27</v>
      </c>
      <c r="F761" s="5">
        <v>35</v>
      </c>
      <c r="G761" s="6">
        <v>33750</v>
      </c>
      <c r="H761" s="6">
        <v>43750</v>
      </c>
      <c r="I761" s="5" t="s">
        <v>12</v>
      </c>
    </row>
    <row r="762" spans="1:9" ht="15.75" x14ac:dyDescent="0.25">
      <c r="A762" s="3" t="s">
        <v>22</v>
      </c>
      <c r="B762" s="8" t="s">
        <v>55</v>
      </c>
      <c r="C762" s="5" t="s">
        <v>80</v>
      </c>
      <c r="D762" s="5" t="s">
        <v>83</v>
      </c>
      <c r="E762" s="5">
        <v>32</v>
      </c>
      <c r="F762" s="5">
        <v>64</v>
      </c>
      <c r="G762" s="6">
        <v>272000</v>
      </c>
      <c r="H762" s="6">
        <v>544000</v>
      </c>
      <c r="I762" s="5" t="s">
        <v>12</v>
      </c>
    </row>
    <row r="763" spans="1:9" ht="15.75" x14ac:dyDescent="0.25">
      <c r="A763" s="3" t="s">
        <v>22</v>
      </c>
      <c r="B763" s="8" t="s">
        <v>55</v>
      </c>
      <c r="C763" s="5" t="s">
        <v>80</v>
      </c>
      <c r="D763" s="5" t="s">
        <v>84</v>
      </c>
      <c r="E763" s="5">
        <v>20</v>
      </c>
      <c r="F763" s="5">
        <v>32</v>
      </c>
      <c r="G763" s="6">
        <v>28000</v>
      </c>
      <c r="H763" s="6">
        <v>44800</v>
      </c>
      <c r="I763" s="5" t="s">
        <v>12</v>
      </c>
    </row>
    <row r="764" spans="1:9" ht="15.75" x14ac:dyDescent="0.25">
      <c r="A764" s="3" t="s">
        <v>22</v>
      </c>
      <c r="B764" s="8" t="s">
        <v>55</v>
      </c>
      <c r="C764" s="5" t="s">
        <v>80</v>
      </c>
      <c r="D764" s="5" t="s">
        <v>82</v>
      </c>
      <c r="E764" s="5">
        <v>8</v>
      </c>
      <c r="F764" s="5">
        <v>10</v>
      </c>
      <c r="G764" s="6">
        <v>10000</v>
      </c>
      <c r="H764" s="6">
        <v>12500</v>
      </c>
      <c r="I764" s="5" t="s">
        <v>10</v>
      </c>
    </row>
    <row r="765" spans="1:9" ht="15.75" x14ac:dyDescent="0.25">
      <c r="A765" s="3" t="s">
        <v>22</v>
      </c>
      <c r="B765" s="8" t="s">
        <v>55</v>
      </c>
      <c r="C765" s="5" t="s">
        <v>80</v>
      </c>
      <c r="D765" s="5" t="s">
        <v>83</v>
      </c>
      <c r="E765" s="5">
        <v>57</v>
      </c>
      <c r="F765" s="5">
        <v>63</v>
      </c>
      <c r="G765" s="6">
        <v>484500</v>
      </c>
      <c r="H765" s="6">
        <v>535500</v>
      </c>
      <c r="I765" s="5" t="s">
        <v>10</v>
      </c>
    </row>
    <row r="766" spans="1:9" ht="15.75" x14ac:dyDescent="0.25">
      <c r="A766" s="3" t="s">
        <v>22</v>
      </c>
      <c r="B766" s="8" t="s">
        <v>55</v>
      </c>
      <c r="C766" s="5" t="s">
        <v>80</v>
      </c>
      <c r="D766" s="5" t="s">
        <v>84</v>
      </c>
      <c r="E766" s="5">
        <v>0</v>
      </c>
      <c r="F766" s="5">
        <v>1</v>
      </c>
      <c r="G766" s="6">
        <v>0</v>
      </c>
      <c r="H766" s="6">
        <v>1400</v>
      </c>
      <c r="I766" s="5" t="s">
        <v>10</v>
      </c>
    </row>
    <row r="767" spans="1:9" ht="15.75" x14ac:dyDescent="0.25">
      <c r="A767" s="3" t="s">
        <v>22</v>
      </c>
      <c r="B767" s="8" t="s">
        <v>55</v>
      </c>
      <c r="C767" s="5" t="s">
        <v>80</v>
      </c>
      <c r="D767" s="5" t="s">
        <v>82</v>
      </c>
      <c r="E767" s="5">
        <v>9</v>
      </c>
      <c r="F767" s="5">
        <v>29</v>
      </c>
      <c r="G767" s="6">
        <v>11250</v>
      </c>
      <c r="H767" s="6">
        <v>36250</v>
      </c>
      <c r="I767" s="5" t="s">
        <v>9</v>
      </c>
    </row>
    <row r="768" spans="1:9" ht="15.75" x14ac:dyDescent="0.25">
      <c r="A768" s="3" t="s">
        <v>22</v>
      </c>
      <c r="B768" s="8" t="s">
        <v>55</v>
      </c>
      <c r="C768" s="5" t="s">
        <v>80</v>
      </c>
      <c r="D768" s="5" t="s">
        <v>83</v>
      </c>
      <c r="E768" s="5">
        <v>1</v>
      </c>
      <c r="F768" s="5">
        <v>2</v>
      </c>
      <c r="G768" s="6">
        <v>8500</v>
      </c>
      <c r="H768" s="6">
        <v>17000</v>
      </c>
      <c r="I768" s="5" t="s">
        <v>9</v>
      </c>
    </row>
    <row r="769" spans="1:9" ht="15.75" x14ac:dyDescent="0.25">
      <c r="A769" s="3" t="s">
        <v>22</v>
      </c>
      <c r="B769" s="8" t="s">
        <v>55</v>
      </c>
      <c r="C769" s="5" t="s">
        <v>80</v>
      </c>
      <c r="D769" s="5" t="s">
        <v>84</v>
      </c>
      <c r="E769" s="5">
        <v>4</v>
      </c>
      <c r="F769" s="5">
        <v>11</v>
      </c>
      <c r="G769" s="6">
        <v>5600</v>
      </c>
      <c r="H769" s="6">
        <v>15400</v>
      </c>
      <c r="I769" s="5" t="s">
        <v>9</v>
      </c>
    </row>
    <row r="770" spans="1:9" ht="15.75" x14ac:dyDescent="0.25">
      <c r="A770" s="3" t="s">
        <v>22</v>
      </c>
      <c r="B770" s="8" t="s">
        <v>55</v>
      </c>
      <c r="C770" s="5" t="s">
        <v>80</v>
      </c>
      <c r="D770" s="5" t="s">
        <v>82</v>
      </c>
      <c r="E770" s="5">
        <v>17</v>
      </c>
      <c r="F770" s="5">
        <v>24</v>
      </c>
      <c r="G770" s="6">
        <v>21250</v>
      </c>
      <c r="H770" s="6">
        <v>30000</v>
      </c>
      <c r="I770" s="5" t="s">
        <v>6</v>
      </c>
    </row>
    <row r="771" spans="1:9" ht="15.75" x14ac:dyDescent="0.25">
      <c r="A771" s="3" t="s">
        <v>22</v>
      </c>
      <c r="B771" s="8" t="s">
        <v>55</v>
      </c>
      <c r="C771" s="5" t="s">
        <v>80</v>
      </c>
      <c r="D771" s="5" t="s">
        <v>83</v>
      </c>
      <c r="E771" s="5">
        <v>44</v>
      </c>
      <c r="F771" s="5">
        <v>74</v>
      </c>
      <c r="G771" s="6">
        <v>374000</v>
      </c>
      <c r="H771" s="6">
        <v>629000</v>
      </c>
      <c r="I771" s="5" t="s">
        <v>6</v>
      </c>
    </row>
    <row r="772" spans="1:9" ht="15.75" x14ac:dyDescent="0.25">
      <c r="A772" s="3" t="s">
        <v>22</v>
      </c>
      <c r="B772" s="8" t="s">
        <v>55</v>
      </c>
      <c r="C772" s="5" t="s">
        <v>80</v>
      </c>
      <c r="D772" s="5" t="s">
        <v>84</v>
      </c>
      <c r="E772" s="5">
        <v>46</v>
      </c>
      <c r="F772" s="5">
        <v>50</v>
      </c>
      <c r="G772" s="6">
        <v>64400</v>
      </c>
      <c r="H772" s="6">
        <v>70000</v>
      </c>
      <c r="I772" s="5" t="s">
        <v>6</v>
      </c>
    </row>
    <row r="773" spans="1:9" ht="15.75" x14ac:dyDescent="0.25">
      <c r="A773" s="3" t="s">
        <v>22</v>
      </c>
      <c r="B773" s="8" t="s">
        <v>55</v>
      </c>
      <c r="C773" s="5" t="s">
        <v>80</v>
      </c>
      <c r="D773" s="5" t="s">
        <v>82</v>
      </c>
      <c r="E773" s="5">
        <v>32</v>
      </c>
      <c r="F773" s="5">
        <v>53</v>
      </c>
      <c r="G773" s="6">
        <v>40000</v>
      </c>
      <c r="H773" s="6">
        <v>66250</v>
      </c>
      <c r="I773" s="5" t="s">
        <v>11</v>
      </c>
    </row>
    <row r="774" spans="1:9" ht="15.75" x14ac:dyDescent="0.25">
      <c r="A774" s="3" t="s">
        <v>22</v>
      </c>
      <c r="B774" s="8" t="s">
        <v>55</v>
      </c>
      <c r="C774" s="5" t="s">
        <v>80</v>
      </c>
      <c r="D774" s="5" t="s">
        <v>83</v>
      </c>
      <c r="E774" s="5">
        <v>3</v>
      </c>
      <c r="F774" s="5">
        <v>4</v>
      </c>
      <c r="G774" s="6">
        <v>25500</v>
      </c>
      <c r="H774" s="6">
        <v>34000</v>
      </c>
      <c r="I774" s="5" t="s">
        <v>11</v>
      </c>
    </row>
    <row r="775" spans="1:9" ht="15.75" x14ac:dyDescent="0.25">
      <c r="A775" s="3" t="s">
        <v>22</v>
      </c>
      <c r="B775" s="8" t="s">
        <v>55</v>
      </c>
      <c r="C775" s="5" t="s">
        <v>80</v>
      </c>
      <c r="D775" s="5" t="s">
        <v>84</v>
      </c>
      <c r="E775" s="5">
        <v>107</v>
      </c>
      <c r="F775" s="5">
        <v>111</v>
      </c>
      <c r="G775" s="6">
        <v>149800</v>
      </c>
      <c r="H775" s="6">
        <v>155400</v>
      </c>
      <c r="I775" s="5" t="s">
        <v>11</v>
      </c>
    </row>
    <row r="776" spans="1:9" ht="15.75" x14ac:dyDescent="0.25">
      <c r="A776" s="3" t="s">
        <v>22</v>
      </c>
      <c r="B776" s="8" t="s">
        <v>55</v>
      </c>
      <c r="C776" s="5" t="s">
        <v>80</v>
      </c>
      <c r="D776" s="5" t="s">
        <v>82</v>
      </c>
      <c r="E776" s="5">
        <v>62</v>
      </c>
      <c r="F776" s="5">
        <v>74</v>
      </c>
      <c r="G776" s="6">
        <v>77500</v>
      </c>
      <c r="H776" s="6">
        <v>92500</v>
      </c>
      <c r="I776" s="5" t="s">
        <v>3</v>
      </c>
    </row>
    <row r="777" spans="1:9" ht="15.75" x14ac:dyDescent="0.25">
      <c r="A777" s="3" t="s">
        <v>22</v>
      </c>
      <c r="B777" s="8" t="s">
        <v>55</v>
      </c>
      <c r="C777" s="5" t="s">
        <v>80</v>
      </c>
      <c r="D777" s="5" t="s">
        <v>83</v>
      </c>
      <c r="E777" s="5">
        <v>21</v>
      </c>
      <c r="F777" s="5">
        <v>45</v>
      </c>
      <c r="G777" s="6">
        <v>178500</v>
      </c>
      <c r="H777" s="6">
        <v>382500</v>
      </c>
      <c r="I777" s="5" t="s">
        <v>3</v>
      </c>
    </row>
    <row r="778" spans="1:9" ht="15.75" x14ac:dyDescent="0.25">
      <c r="A778" s="3" t="s">
        <v>22</v>
      </c>
      <c r="B778" s="8" t="s">
        <v>55</v>
      </c>
      <c r="C778" s="5" t="s">
        <v>80</v>
      </c>
      <c r="D778" s="5" t="s">
        <v>84</v>
      </c>
      <c r="E778" s="5">
        <v>16</v>
      </c>
      <c r="F778" s="5">
        <v>56</v>
      </c>
      <c r="G778" s="6">
        <v>22400</v>
      </c>
      <c r="H778" s="6">
        <v>78400</v>
      </c>
      <c r="I778" s="5" t="s">
        <v>3</v>
      </c>
    </row>
    <row r="779" spans="1:9" ht="15.75" x14ac:dyDescent="0.25">
      <c r="A779" s="3" t="s">
        <v>22</v>
      </c>
      <c r="B779" s="8" t="s">
        <v>55</v>
      </c>
      <c r="C779" s="5" t="s">
        <v>80</v>
      </c>
      <c r="D779" s="5" t="s">
        <v>82</v>
      </c>
      <c r="E779" s="5">
        <v>7</v>
      </c>
      <c r="F779" s="5">
        <v>16</v>
      </c>
      <c r="G779" s="6">
        <v>8750</v>
      </c>
      <c r="H779" s="6">
        <v>20000</v>
      </c>
      <c r="I779" s="5" t="s">
        <v>5</v>
      </c>
    </row>
    <row r="780" spans="1:9" ht="15.75" x14ac:dyDescent="0.25">
      <c r="A780" s="3" t="s">
        <v>22</v>
      </c>
      <c r="B780" s="8" t="s">
        <v>55</v>
      </c>
      <c r="C780" s="5" t="s">
        <v>80</v>
      </c>
      <c r="D780" s="5" t="s">
        <v>83</v>
      </c>
      <c r="E780" s="5">
        <v>85</v>
      </c>
      <c r="F780" s="5">
        <v>126</v>
      </c>
      <c r="G780" s="6">
        <v>722500</v>
      </c>
      <c r="H780" s="6">
        <v>1071000</v>
      </c>
      <c r="I780" s="5" t="s">
        <v>5</v>
      </c>
    </row>
    <row r="781" spans="1:9" ht="15.75" x14ac:dyDescent="0.25">
      <c r="A781" s="3" t="s">
        <v>22</v>
      </c>
      <c r="B781" s="8" t="s">
        <v>55</v>
      </c>
      <c r="C781" s="5" t="s">
        <v>80</v>
      </c>
      <c r="D781" s="5" t="s">
        <v>84</v>
      </c>
      <c r="E781" s="5">
        <v>33</v>
      </c>
      <c r="F781" s="5">
        <v>72</v>
      </c>
      <c r="G781" s="6">
        <v>46200</v>
      </c>
      <c r="H781" s="6">
        <v>100800</v>
      </c>
      <c r="I781" s="5" t="s">
        <v>5</v>
      </c>
    </row>
    <row r="782" spans="1:9" ht="15.75" x14ac:dyDescent="0.25">
      <c r="A782" s="3" t="s">
        <v>22</v>
      </c>
      <c r="B782" s="8" t="s">
        <v>55</v>
      </c>
      <c r="C782" s="5" t="s">
        <v>80</v>
      </c>
      <c r="D782" s="5" t="s">
        <v>82</v>
      </c>
      <c r="E782" s="5">
        <v>36</v>
      </c>
      <c r="F782" s="5">
        <v>44</v>
      </c>
      <c r="G782" s="6">
        <v>45000</v>
      </c>
      <c r="H782" s="6">
        <v>55000</v>
      </c>
      <c r="I782" s="5" t="s">
        <v>4</v>
      </c>
    </row>
    <row r="783" spans="1:9" ht="15.75" x14ac:dyDescent="0.25">
      <c r="A783" s="3" t="s">
        <v>22</v>
      </c>
      <c r="B783" s="8" t="s">
        <v>55</v>
      </c>
      <c r="C783" s="5" t="s">
        <v>80</v>
      </c>
      <c r="D783" s="5" t="s">
        <v>83</v>
      </c>
      <c r="E783" s="5">
        <v>13</v>
      </c>
      <c r="F783" s="5">
        <v>45</v>
      </c>
      <c r="G783" s="6">
        <v>110500</v>
      </c>
      <c r="H783" s="6">
        <v>382500</v>
      </c>
      <c r="I783" s="5" t="s">
        <v>4</v>
      </c>
    </row>
    <row r="784" spans="1:9" ht="15.75" x14ac:dyDescent="0.25">
      <c r="A784" s="3" t="s">
        <v>22</v>
      </c>
      <c r="B784" s="8" t="s">
        <v>55</v>
      </c>
      <c r="C784" s="5" t="s">
        <v>80</v>
      </c>
      <c r="D784" s="5" t="s">
        <v>84</v>
      </c>
      <c r="E784" s="5">
        <v>16</v>
      </c>
      <c r="F784" s="5">
        <v>32</v>
      </c>
      <c r="G784" s="6">
        <v>22400</v>
      </c>
      <c r="H784" s="6">
        <v>44800</v>
      </c>
      <c r="I784" s="5" t="s">
        <v>4</v>
      </c>
    </row>
    <row r="785" spans="1:9" ht="15.75" x14ac:dyDescent="0.25">
      <c r="A785" s="3" t="s">
        <v>22</v>
      </c>
      <c r="B785" s="8" t="s">
        <v>55</v>
      </c>
      <c r="C785" s="5" t="s">
        <v>80</v>
      </c>
      <c r="D785" s="5" t="s">
        <v>82</v>
      </c>
      <c r="E785" s="5">
        <v>1</v>
      </c>
      <c r="F785" s="5">
        <v>2</v>
      </c>
      <c r="G785" s="6">
        <v>1250</v>
      </c>
      <c r="H785" s="6">
        <v>2500</v>
      </c>
      <c r="I785" s="5" t="s">
        <v>1</v>
      </c>
    </row>
    <row r="786" spans="1:9" ht="15.75" x14ac:dyDescent="0.25">
      <c r="A786" s="3" t="s">
        <v>22</v>
      </c>
      <c r="B786" s="8" t="s">
        <v>55</v>
      </c>
      <c r="C786" s="5" t="s">
        <v>80</v>
      </c>
      <c r="D786" s="5" t="s">
        <v>83</v>
      </c>
      <c r="E786" s="5">
        <v>44</v>
      </c>
      <c r="F786" s="5">
        <v>120</v>
      </c>
      <c r="G786" s="6">
        <v>374000</v>
      </c>
      <c r="H786" s="6">
        <v>1020000</v>
      </c>
      <c r="I786" s="5" t="s">
        <v>1</v>
      </c>
    </row>
    <row r="787" spans="1:9" ht="15.75" x14ac:dyDescent="0.25">
      <c r="A787" s="3" t="s">
        <v>22</v>
      </c>
      <c r="B787" s="8" t="s">
        <v>55</v>
      </c>
      <c r="C787" s="5" t="s">
        <v>80</v>
      </c>
      <c r="D787" s="5" t="s">
        <v>84</v>
      </c>
      <c r="E787" s="5">
        <v>7</v>
      </c>
      <c r="F787" s="5">
        <v>12</v>
      </c>
      <c r="G787" s="6">
        <v>9800</v>
      </c>
      <c r="H787" s="6">
        <v>16800</v>
      </c>
      <c r="I787" s="5" t="s">
        <v>1</v>
      </c>
    </row>
    <row r="788" spans="1:9" ht="15.75" x14ac:dyDescent="0.25">
      <c r="A788" s="3" t="s">
        <v>22</v>
      </c>
      <c r="B788" s="8" t="s">
        <v>55</v>
      </c>
      <c r="C788" s="5" t="s">
        <v>80</v>
      </c>
      <c r="D788" s="5" t="s">
        <v>82</v>
      </c>
      <c r="E788" s="5">
        <v>8</v>
      </c>
      <c r="F788" s="5">
        <v>59</v>
      </c>
      <c r="G788" s="6">
        <v>10000</v>
      </c>
      <c r="H788" s="6">
        <v>73750</v>
      </c>
      <c r="I788" s="5" t="s">
        <v>2</v>
      </c>
    </row>
    <row r="789" spans="1:9" ht="15.75" x14ac:dyDescent="0.25">
      <c r="A789" s="3" t="s">
        <v>22</v>
      </c>
      <c r="B789" s="8" t="s">
        <v>55</v>
      </c>
      <c r="C789" s="5" t="s">
        <v>80</v>
      </c>
      <c r="D789" s="5" t="s">
        <v>83</v>
      </c>
      <c r="E789" s="5">
        <v>37</v>
      </c>
      <c r="F789" s="5">
        <v>39</v>
      </c>
      <c r="G789" s="6">
        <v>314500</v>
      </c>
      <c r="H789" s="6">
        <v>331500</v>
      </c>
      <c r="I789" s="5" t="s">
        <v>2</v>
      </c>
    </row>
    <row r="790" spans="1:9" ht="15.75" x14ac:dyDescent="0.25">
      <c r="A790" s="3" t="s">
        <v>22</v>
      </c>
      <c r="B790" s="8" t="s">
        <v>55</v>
      </c>
      <c r="C790" s="5" t="s">
        <v>80</v>
      </c>
      <c r="D790" s="5" t="s">
        <v>84</v>
      </c>
      <c r="E790" s="5">
        <v>34</v>
      </c>
      <c r="F790" s="5">
        <v>51</v>
      </c>
      <c r="G790" s="6">
        <v>47600</v>
      </c>
      <c r="H790" s="6">
        <v>71400</v>
      </c>
      <c r="I790" s="5" t="s">
        <v>2</v>
      </c>
    </row>
    <row r="791" spans="1:9" ht="15.75" x14ac:dyDescent="0.25">
      <c r="A791" s="3" t="s">
        <v>22</v>
      </c>
      <c r="B791" s="8" t="s">
        <v>55</v>
      </c>
      <c r="C791" s="5" t="s">
        <v>80</v>
      </c>
      <c r="D791" s="5" t="s">
        <v>82</v>
      </c>
      <c r="E791" s="5">
        <v>28</v>
      </c>
      <c r="F791" s="5">
        <v>64</v>
      </c>
      <c r="G791" s="6">
        <v>35000</v>
      </c>
      <c r="H791" s="6">
        <v>80000</v>
      </c>
      <c r="I791" s="5" t="s">
        <v>7</v>
      </c>
    </row>
    <row r="792" spans="1:9" ht="15.75" x14ac:dyDescent="0.25">
      <c r="A792" s="3" t="s">
        <v>22</v>
      </c>
      <c r="B792" s="8" t="s">
        <v>55</v>
      </c>
      <c r="C792" s="5" t="s">
        <v>80</v>
      </c>
      <c r="D792" s="5" t="s">
        <v>83</v>
      </c>
      <c r="E792" s="5">
        <v>13</v>
      </c>
      <c r="F792" s="5">
        <v>82</v>
      </c>
      <c r="G792" s="6">
        <v>110500</v>
      </c>
      <c r="H792" s="6">
        <v>697000</v>
      </c>
      <c r="I792" s="5" t="s">
        <v>7</v>
      </c>
    </row>
    <row r="793" spans="1:9" ht="15.75" x14ac:dyDescent="0.25">
      <c r="A793" s="3" t="s">
        <v>22</v>
      </c>
      <c r="B793" s="8" t="s">
        <v>55</v>
      </c>
      <c r="C793" s="5" t="s">
        <v>80</v>
      </c>
      <c r="D793" s="5" t="s">
        <v>84</v>
      </c>
      <c r="E793" s="5">
        <v>4</v>
      </c>
      <c r="F793" s="5">
        <v>29</v>
      </c>
      <c r="G793" s="6">
        <v>5600</v>
      </c>
      <c r="H793" s="6">
        <v>40600</v>
      </c>
      <c r="I793" s="5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8"/>
  <dimension ref="A1:C23"/>
  <sheetViews>
    <sheetView workbookViewId="0">
      <selection activeCell="F6" sqref="F6"/>
    </sheetView>
  </sheetViews>
  <sheetFormatPr defaultRowHeight="15" x14ac:dyDescent="0.25"/>
  <cols>
    <col min="1" max="1" width="10.85546875" bestFit="1" customWidth="1"/>
    <col min="2" max="2" width="11.5703125" bestFit="1" customWidth="1"/>
    <col min="3" max="3" width="19.85546875" bestFit="1" customWidth="1"/>
  </cols>
  <sheetData>
    <row r="1" spans="1:3" x14ac:dyDescent="0.25">
      <c r="A1" s="1" t="s">
        <v>31</v>
      </c>
      <c r="B1" s="1" t="s">
        <v>32</v>
      </c>
      <c r="C1" s="1" t="s">
        <v>108</v>
      </c>
    </row>
    <row r="2" spans="1:3" ht="15.75" x14ac:dyDescent="0.25">
      <c r="A2" s="3" t="s">
        <v>14</v>
      </c>
      <c r="B2" s="8" t="s">
        <v>36</v>
      </c>
      <c r="C2" s="5" t="s">
        <v>59</v>
      </c>
    </row>
    <row r="3" spans="1:3" ht="15.75" x14ac:dyDescent="0.25">
      <c r="A3" s="3" t="s">
        <v>14</v>
      </c>
      <c r="B3" s="8" t="s">
        <v>29</v>
      </c>
      <c r="C3" s="5" t="s">
        <v>60</v>
      </c>
    </row>
    <row r="4" spans="1:3" ht="15.75" x14ac:dyDescent="0.25">
      <c r="A4" s="3" t="s">
        <v>14</v>
      </c>
      <c r="B4" s="8" t="s">
        <v>30</v>
      </c>
      <c r="C4" s="5" t="s">
        <v>61</v>
      </c>
    </row>
    <row r="5" spans="1:3" ht="15.75" x14ac:dyDescent="0.25">
      <c r="A5" s="3" t="s">
        <v>15</v>
      </c>
      <c r="B5" s="8" t="s">
        <v>44</v>
      </c>
      <c r="C5" s="5" t="s">
        <v>69</v>
      </c>
    </row>
    <row r="6" spans="1:3" ht="15.75" x14ac:dyDescent="0.25">
      <c r="A6" s="3" t="s">
        <v>16</v>
      </c>
      <c r="B6" s="8" t="s">
        <v>45</v>
      </c>
      <c r="C6" s="5" t="s">
        <v>70</v>
      </c>
    </row>
    <row r="7" spans="1:3" ht="15.75" x14ac:dyDescent="0.25">
      <c r="A7" s="3" t="s">
        <v>17</v>
      </c>
      <c r="B7" s="8" t="s">
        <v>46</v>
      </c>
      <c r="C7" s="5" t="s">
        <v>71</v>
      </c>
    </row>
    <row r="8" spans="1:3" ht="15.75" x14ac:dyDescent="0.25">
      <c r="A8" s="3" t="s">
        <v>18</v>
      </c>
      <c r="B8" s="8" t="s">
        <v>47</v>
      </c>
      <c r="C8" s="5" t="s">
        <v>72</v>
      </c>
    </row>
    <row r="9" spans="1:3" ht="15.75" x14ac:dyDescent="0.25">
      <c r="A9" s="3" t="s">
        <v>18</v>
      </c>
      <c r="B9" s="8" t="s">
        <v>48</v>
      </c>
      <c r="C9" s="5" t="s">
        <v>73</v>
      </c>
    </row>
    <row r="10" spans="1:3" ht="15.75" x14ac:dyDescent="0.25">
      <c r="A10" s="3" t="s">
        <v>19</v>
      </c>
      <c r="B10" s="8" t="s">
        <v>49</v>
      </c>
      <c r="C10" s="5" t="s">
        <v>74</v>
      </c>
    </row>
    <row r="11" spans="1:3" ht="15.75" x14ac:dyDescent="0.25">
      <c r="A11" s="3" t="s">
        <v>19</v>
      </c>
      <c r="B11" s="8" t="s">
        <v>50</v>
      </c>
      <c r="C11" s="5" t="s">
        <v>75</v>
      </c>
    </row>
    <row r="12" spans="1:3" ht="15.75" x14ac:dyDescent="0.25">
      <c r="A12" s="3" t="s">
        <v>20</v>
      </c>
      <c r="B12" s="8" t="s">
        <v>51</v>
      </c>
      <c r="C12" s="5" t="s">
        <v>76</v>
      </c>
    </row>
    <row r="13" spans="1:3" ht="15.75" x14ac:dyDescent="0.25">
      <c r="A13" s="3" t="s">
        <v>21</v>
      </c>
      <c r="B13" s="8" t="s">
        <v>52</v>
      </c>
      <c r="C13" s="5" t="s">
        <v>77</v>
      </c>
    </row>
    <row r="14" spans="1:3" ht="15.75" x14ac:dyDescent="0.25">
      <c r="A14" s="3" t="s">
        <v>21</v>
      </c>
      <c r="B14" s="8" t="s">
        <v>53</v>
      </c>
      <c r="C14" s="5" t="s">
        <v>78</v>
      </c>
    </row>
    <row r="15" spans="1:3" ht="15.75" x14ac:dyDescent="0.25">
      <c r="A15" s="3" t="s">
        <v>21</v>
      </c>
      <c r="B15" s="8" t="s">
        <v>54</v>
      </c>
      <c r="C15" s="5" t="s">
        <v>79</v>
      </c>
    </row>
    <row r="16" spans="1:3" ht="15.75" x14ac:dyDescent="0.25">
      <c r="A16" s="3" t="s">
        <v>22</v>
      </c>
      <c r="B16" s="8" t="s">
        <v>55</v>
      </c>
      <c r="C16" s="5" t="s">
        <v>80</v>
      </c>
    </row>
    <row r="17" spans="1:3" ht="15.75" x14ac:dyDescent="0.25">
      <c r="A17" s="3" t="s">
        <v>23</v>
      </c>
      <c r="B17" s="8" t="s">
        <v>37</v>
      </c>
      <c r="C17" s="5" t="s">
        <v>62</v>
      </c>
    </row>
    <row r="18" spans="1:3" ht="15.75" x14ac:dyDescent="0.25">
      <c r="A18" s="3" t="s">
        <v>23</v>
      </c>
      <c r="B18" s="8" t="s">
        <v>38</v>
      </c>
      <c r="C18" s="5" t="s">
        <v>63</v>
      </c>
    </row>
    <row r="19" spans="1:3" ht="15.75" x14ac:dyDescent="0.25">
      <c r="A19" s="3" t="s">
        <v>24</v>
      </c>
      <c r="B19" s="8" t="s">
        <v>39</v>
      </c>
      <c r="C19" s="5" t="s">
        <v>64</v>
      </c>
    </row>
    <row r="20" spans="1:3" ht="15.75" x14ac:dyDescent="0.25">
      <c r="A20" s="3" t="s">
        <v>25</v>
      </c>
      <c r="B20" s="8" t="s">
        <v>40</v>
      </c>
      <c r="C20" s="5" t="s">
        <v>65</v>
      </c>
    </row>
    <row r="21" spans="1:3" ht="15.75" x14ac:dyDescent="0.25">
      <c r="A21" s="3" t="s">
        <v>26</v>
      </c>
      <c r="B21" s="8" t="s">
        <v>41</v>
      </c>
      <c r="C21" s="5" t="s">
        <v>66</v>
      </c>
    </row>
    <row r="22" spans="1:3" ht="15.75" x14ac:dyDescent="0.25">
      <c r="A22" s="3" t="s">
        <v>27</v>
      </c>
      <c r="B22" s="8" t="s">
        <v>42</v>
      </c>
      <c r="C22" s="5" t="s">
        <v>67</v>
      </c>
    </row>
    <row r="23" spans="1:3" ht="15.75" x14ac:dyDescent="0.25">
      <c r="A23" s="3" t="s">
        <v>28</v>
      </c>
      <c r="B23" s="8" t="s">
        <v>43</v>
      </c>
      <c r="C23" s="5" t="s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3"/>
  <dimension ref="A1:AL58"/>
  <sheetViews>
    <sheetView showGridLines="0" zoomScale="80" zoomScaleNormal="80" workbookViewId="0">
      <selection activeCell="E39" sqref="E39:G39"/>
    </sheetView>
  </sheetViews>
  <sheetFormatPr defaultRowHeight="15" x14ac:dyDescent="0.25"/>
  <cols>
    <col min="8" max="8" width="11.42578125" bestFit="1" customWidth="1"/>
    <col min="9" max="9" width="9.28515625" bestFit="1" customWidth="1"/>
    <col min="10" max="10" width="9.85546875" bestFit="1" customWidth="1"/>
    <col min="12" max="12" width="9.85546875" bestFit="1" customWidth="1"/>
    <col min="14" max="14" width="9.85546875" bestFit="1" customWidth="1"/>
    <col min="16" max="16" width="9.85546875" bestFit="1" customWidth="1"/>
    <col min="18" max="18" width="9.85546875" bestFit="1" customWidth="1"/>
    <col min="20" max="20" width="9.85546875" bestFit="1" customWidth="1"/>
    <col min="22" max="22" width="9.85546875" bestFit="1" customWidth="1"/>
    <col min="24" max="24" width="9.85546875" bestFit="1" customWidth="1"/>
    <col min="26" max="26" width="9.85546875" bestFit="1" customWidth="1"/>
    <col min="28" max="28" width="9.85546875" bestFit="1" customWidth="1"/>
    <col min="30" max="30" width="9.85546875" bestFit="1" customWidth="1"/>
    <col min="32" max="32" width="9.85546875" bestFit="1" customWidth="1"/>
  </cols>
  <sheetData>
    <row r="1" spans="1:38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</row>
    <row r="2" spans="1:38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</row>
    <row r="3" spans="1:38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</row>
    <row r="4" spans="1:38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</row>
    <row r="5" spans="1:38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38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</row>
    <row r="7" spans="1:38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</row>
    <row r="8" spans="1:3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</row>
    <row r="9" spans="1:38" x14ac:dyDescent="0.25">
      <c r="A9" s="7">
        <v>4</v>
      </c>
      <c r="B9" s="7" t="str">
        <f>IF($A$9=1,"RAF",IF($A$9=2,"KİTAPLIK",IF($A$9=3,"MASA",IF($A$9=4,"HEPSİ"))))</f>
        <v>HEPSİ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</row>
    <row r="10" spans="1:3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x14ac:dyDescent="0.25">
      <c r="A13" s="7"/>
      <c r="B13" s="7"/>
      <c r="C13" s="7"/>
      <c r="D13" s="7"/>
      <c r="E13" s="7"/>
      <c r="F13" s="7"/>
      <c r="G13" s="7"/>
      <c r="H13" s="36" t="s">
        <v>91</v>
      </c>
      <c r="I13" s="35" t="s">
        <v>1</v>
      </c>
      <c r="J13" s="34"/>
      <c r="K13" s="34" t="s">
        <v>2</v>
      </c>
      <c r="L13" s="34"/>
      <c r="M13" s="34" t="s">
        <v>3</v>
      </c>
      <c r="N13" s="34"/>
      <c r="O13" s="34" t="s">
        <v>4</v>
      </c>
      <c r="P13" s="34"/>
      <c r="Q13" s="34" t="s">
        <v>5</v>
      </c>
      <c r="R13" s="34"/>
      <c r="S13" s="34" t="s">
        <v>6</v>
      </c>
      <c r="T13" s="34"/>
      <c r="U13" s="34" t="s">
        <v>7</v>
      </c>
      <c r="V13" s="34"/>
      <c r="W13" s="34" t="s">
        <v>8</v>
      </c>
      <c r="X13" s="34"/>
      <c r="Y13" s="34" t="s">
        <v>9</v>
      </c>
      <c r="Z13" s="34"/>
      <c r="AA13" s="34" t="s">
        <v>10</v>
      </c>
      <c r="AB13" s="34"/>
      <c r="AC13" s="34" t="s">
        <v>11</v>
      </c>
      <c r="AD13" s="34"/>
      <c r="AE13" s="34" t="s">
        <v>12</v>
      </c>
      <c r="AF13" s="34"/>
      <c r="AG13" s="7"/>
      <c r="AH13" s="7"/>
      <c r="AI13" s="7"/>
      <c r="AJ13" s="7"/>
      <c r="AK13" s="7"/>
      <c r="AL13" s="7"/>
    </row>
    <row r="14" spans="1:38" x14ac:dyDescent="0.25">
      <c r="A14" s="7"/>
      <c r="B14" s="7"/>
      <c r="C14" s="7"/>
      <c r="D14" s="7"/>
      <c r="E14" s="7"/>
      <c r="F14" s="7"/>
      <c r="G14" s="7"/>
      <c r="H14" s="36"/>
      <c r="I14" s="11" t="s">
        <v>89</v>
      </c>
      <c r="J14" s="9" t="s">
        <v>90</v>
      </c>
      <c r="K14" s="9" t="s">
        <v>89</v>
      </c>
      <c r="L14" s="9" t="s">
        <v>90</v>
      </c>
      <c r="M14" s="9" t="s">
        <v>89</v>
      </c>
      <c r="N14" s="9" t="s">
        <v>90</v>
      </c>
      <c r="O14" s="9" t="s">
        <v>89</v>
      </c>
      <c r="P14" s="9" t="s">
        <v>90</v>
      </c>
      <c r="Q14" s="9" t="s">
        <v>89</v>
      </c>
      <c r="R14" s="9" t="s">
        <v>90</v>
      </c>
      <c r="S14" s="9" t="s">
        <v>89</v>
      </c>
      <c r="T14" s="9" t="s">
        <v>90</v>
      </c>
      <c r="U14" s="9" t="s">
        <v>89</v>
      </c>
      <c r="V14" s="9" t="s">
        <v>90</v>
      </c>
      <c r="W14" s="9" t="s">
        <v>89</v>
      </c>
      <c r="X14" s="9" t="s">
        <v>90</v>
      </c>
      <c r="Y14" s="9" t="s">
        <v>89</v>
      </c>
      <c r="Z14" s="9" t="s">
        <v>90</v>
      </c>
      <c r="AA14" s="9" t="s">
        <v>89</v>
      </c>
      <c r="AB14" s="9" t="s">
        <v>90</v>
      </c>
      <c r="AC14" s="9" t="s">
        <v>89</v>
      </c>
      <c r="AD14" s="9" t="s">
        <v>90</v>
      </c>
      <c r="AE14" s="9" t="s">
        <v>89</v>
      </c>
      <c r="AF14" s="9" t="s">
        <v>90</v>
      </c>
      <c r="AG14" s="7"/>
      <c r="AH14" s="7"/>
      <c r="AI14" s="7"/>
      <c r="AJ14" s="7"/>
      <c r="AK14" s="7"/>
      <c r="AL14" s="7"/>
    </row>
    <row r="15" spans="1:38" x14ac:dyDescent="0.25">
      <c r="A15" s="7"/>
      <c r="B15" s="7"/>
      <c r="C15" s="7"/>
      <c r="D15" s="7"/>
      <c r="E15" s="7"/>
      <c r="F15" s="7"/>
      <c r="G15" s="7"/>
      <c r="H15" s="12" t="s">
        <v>14</v>
      </c>
      <c r="I15" s="13">
        <f>IF($B$9="HEPSİ",SUMIFS('HAM VERİ'!$E:$E,'HAM VERİ'!$A:$A,RAPOR1!$H15,'HAM VERİ'!$I:$I,RAPOR1!I$13),SUMIFS('HAM VERİ'!$E:$E,'HAM VERİ'!$A:$A,RAPOR1!$H15,'HAM VERİ'!$I:$I,RAPOR1!I$13,'HAM VERİ'!$D:$D,RAPOR1!$B$9))</f>
        <v>231</v>
      </c>
      <c r="J15" s="13">
        <f>IF($B$9="HEPSİ",SUMIFS('HAM VERİ'!$G:$G,'HAM VERİ'!$A:$A,RAPOR1!$H15,'HAM VERİ'!$I:$I,RAPOR1!I$13),SUMIFS('HAM VERİ'!$G:$G,'HAM VERİ'!$A:$A,RAPOR1!$H15,'HAM VERİ'!$I:$I,RAPOR1!I$13,'HAM VERİ'!$D:$D,RAPOR1!$B$9))</f>
        <v>1051250</v>
      </c>
      <c r="K15" s="13">
        <f>IF($B$9="HEPSİ",SUMIFS('HAM VERİ'!$E:$E,'HAM VERİ'!$A:$A,RAPOR1!$H15,'HAM VERİ'!$I:$I,RAPOR1!K$13),SUMIFS('HAM VERİ'!$E:$E,'HAM VERİ'!$A:$A,RAPOR1!$H15,'HAM VERİ'!$I:$I,RAPOR1!K$13,'HAM VERİ'!$D:$D,RAPOR1!$B$9))</f>
        <v>234</v>
      </c>
      <c r="L15" s="13">
        <f>IF($B$9="HEPSİ",SUMIFS('HAM VERİ'!$G:$G,'HAM VERİ'!$A:$A,RAPOR1!$H15,'HAM VERİ'!$I:$I,RAPOR1!K$13),SUMIFS('HAM VERİ'!$G:$G,'HAM VERİ'!$A:$A,RAPOR1!$H15,'HAM VERİ'!$I:$I,RAPOR1!K$13,'HAM VERİ'!$D:$D,RAPOR1!$B$9))</f>
        <v>955700</v>
      </c>
      <c r="M15" s="13">
        <f>IF($B$9="HEPSİ",SUMIFS('HAM VERİ'!$E:$E,'HAM VERİ'!$A:$A,RAPOR1!$H15,'HAM VERİ'!$I:$I,RAPOR1!M$13),SUMIFS('HAM VERİ'!$E:$E,'HAM VERİ'!$A:$A,RAPOR1!$H15,'HAM VERİ'!$I:$I,RAPOR1!M$13,'HAM VERİ'!$D:$D,RAPOR1!$B$9))</f>
        <v>206</v>
      </c>
      <c r="N15" s="13">
        <f>IF($B$9="HEPSİ",SUMIFS('HAM VERİ'!$G:$G,'HAM VERİ'!$A:$A,RAPOR1!$H15,'HAM VERİ'!$I:$I,RAPOR1!M$13),SUMIFS('HAM VERİ'!$G:$G,'HAM VERİ'!$A:$A,RAPOR1!$H15,'HAM VERİ'!$I:$I,RAPOR1!M$13,'HAM VERİ'!$D:$D,RAPOR1!$B$9))</f>
        <v>1025500</v>
      </c>
      <c r="O15" s="13">
        <f>IF($B$9="HEPSİ",SUMIFS('HAM VERİ'!$E:$E,'HAM VERİ'!$A:$A,RAPOR1!$H15,'HAM VERİ'!$I:$I,RAPOR1!O$13),SUMIFS('HAM VERİ'!$E:$E,'HAM VERİ'!$A:$A,RAPOR1!$H15,'HAM VERİ'!$I:$I,RAPOR1!O$13,'HAM VERİ'!$D:$D,RAPOR1!$B$9))</f>
        <v>153</v>
      </c>
      <c r="P15" s="13">
        <f>IF($B$9="HEPSİ",SUMIFS('HAM VERİ'!$G:$G,'HAM VERİ'!$A:$A,RAPOR1!$H15,'HAM VERİ'!$I:$I,RAPOR1!O$13),SUMIFS('HAM VERİ'!$G:$G,'HAM VERİ'!$A:$A,RAPOR1!$H15,'HAM VERİ'!$I:$I,RAPOR1!O$13,'HAM VERİ'!$D:$D,RAPOR1!$B$9))</f>
        <v>310100</v>
      </c>
      <c r="Q15" s="13">
        <f>IF($B$9="HEPSİ",SUMIFS('HAM VERİ'!$E:$E,'HAM VERİ'!$A:$A,RAPOR1!$H15,'HAM VERİ'!$I:$I,RAPOR1!Q$13),SUMIFS('HAM VERİ'!$E:$E,'HAM VERİ'!$A:$A,RAPOR1!$H15,'HAM VERİ'!$I:$I,RAPOR1!Q$13,'HAM VERİ'!$D:$D,RAPOR1!$B$9))</f>
        <v>232</v>
      </c>
      <c r="R15" s="13">
        <f>IF($B$9="HEPSİ",SUMIFS('HAM VERİ'!$G:$G,'HAM VERİ'!$A:$A,RAPOR1!$H15,'HAM VERİ'!$I:$I,RAPOR1!Q$13),SUMIFS('HAM VERİ'!$G:$G,'HAM VERİ'!$A:$A,RAPOR1!$H15,'HAM VERİ'!$I:$I,RAPOR1!Q$13,'HAM VERİ'!$D:$D,RAPOR1!$B$9))</f>
        <v>991050</v>
      </c>
      <c r="S15" s="13">
        <f>IF($B$9="HEPSİ",SUMIFS('HAM VERİ'!$E:$E,'HAM VERİ'!$A:$A,RAPOR1!$H15,'HAM VERİ'!$I:$I,RAPOR1!S$13),SUMIFS('HAM VERİ'!$E:$E,'HAM VERİ'!$A:$A,RAPOR1!$H15,'HAM VERİ'!$I:$I,RAPOR1!S$13,'HAM VERİ'!$D:$D,RAPOR1!$B$9))</f>
        <v>289</v>
      </c>
      <c r="T15" s="13">
        <f>IF($B$9="HEPSİ",SUMIFS('HAM VERİ'!$G:$G,'HAM VERİ'!$A:$A,RAPOR1!$H15,'HAM VERİ'!$I:$I,RAPOR1!S$13),SUMIFS('HAM VERİ'!$G:$G,'HAM VERİ'!$A:$A,RAPOR1!$H15,'HAM VERİ'!$I:$I,RAPOR1!S$13,'HAM VERİ'!$D:$D,RAPOR1!$B$9))</f>
        <v>600400</v>
      </c>
      <c r="U15" s="13">
        <f>IF($B$9="HEPSİ",SUMIFS('HAM VERİ'!$E:$E,'HAM VERİ'!$A:$A,RAPOR1!$H15,'HAM VERİ'!$I:$I,RAPOR1!U$13),SUMIFS('HAM VERİ'!$E:$E,'HAM VERİ'!$A:$A,RAPOR1!$H15,'HAM VERİ'!$I:$I,RAPOR1!U$13,'HAM VERİ'!$D:$D,RAPOR1!$B$9))</f>
        <v>232</v>
      </c>
      <c r="V15" s="13">
        <f>IF($B$9="HEPSİ",SUMIFS('HAM VERİ'!$G:$G,'HAM VERİ'!$A:$A,RAPOR1!$H15,'HAM VERİ'!$I:$I,RAPOR1!U$13),SUMIFS('HAM VERİ'!$G:$G,'HAM VERİ'!$A:$A,RAPOR1!$H15,'HAM VERİ'!$I:$I,RAPOR1!U$13,'HAM VERİ'!$D:$D,RAPOR1!$B$9))</f>
        <v>1238050</v>
      </c>
      <c r="W15" s="13">
        <f>IF($B$9="HEPSİ",SUMIFS('HAM VERİ'!$E:$E,'HAM VERİ'!$A:$A,RAPOR1!$H15,'HAM VERİ'!$I:$I,RAPOR1!W$13),SUMIFS('HAM VERİ'!$E:$E,'HAM VERİ'!$A:$A,RAPOR1!$H15,'HAM VERİ'!$I:$I,RAPOR1!W$13,'HAM VERİ'!$D:$D,RAPOR1!$B$9))</f>
        <v>157</v>
      </c>
      <c r="X15" s="13">
        <f>IF($B$9="HEPSİ",SUMIFS('HAM VERİ'!$G:$G,'HAM VERİ'!$A:$A,RAPOR1!$H15,'HAM VERİ'!$I:$I,RAPOR1!W$13),SUMIFS('HAM VERİ'!$G:$G,'HAM VERİ'!$A:$A,RAPOR1!$H15,'HAM VERİ'!$I:$I,RAPOR1!W$13,'HAM VERİ'!$D:$D,RAPOR1!$B$9))</f>
        <v>607050</v>
      </c>
      <c r="Y15" s="13">
        <f>IF($B$9="HEPSİ",SUMIFS('HAM VERİ'!$E:$E,'HAM VERİ'!$A:$A,RAPOR1!$H15,'HAM VERİ'!$I:$I,RAPOR1!Y$13),SUMIFS('HAM VERİ'!$E:$E,'HAM VERİ'!$A:$A,RAPOR1!$H15,'HAM VERİ'!$I:$I,RAPOR1!Y$13,'HAM VERİ'!$D:$D,RAPOR1!$B$9))</f>
        <v>216</v>
      </c>
      <c r="Z15" s="13">
        <f>IF($B$9="HEPSİ",SUMIFS('HAM VERİ'!$G:$G,'HAM VERİ'!$A:$A,RAPOR1!$H15,'HAM VERİ'!$I:$I,RAPOR1!Y$13),SUMIFS('HAM VERİ'!$G:$G,'HAM VERİ'!$A:$A,RAPOR1!$H15,'HAM VERİ'!$I:$I,RAPOR1!Y$13,'HAM VERİ'!$D:$D,RAPOR1!$B$9))</f>
        <v>821100</v>
      </c>
      <c r="AA15" s="13">
        <f>IF($B$9="HEPSİ",SUMIFS('HAM VERİ'!$E:$E,'HAM VERİ'!$A:$A,RAPOR1!$H15,'HAM VERİ'!$I:$I,RAPOR1!AA$13),SUMIFS('HAM VERİ'!$E:$E,'HAM VERİ'!$A:$A,RAPOR1!$H15,'HAM VERİ'!$I:$I,RAPOR1!AA$13,'HAM VERİ'!$D:$D,RAPOR1!$B$9))</f>
        <v>165</v>
      </c>
      <c r="AB15" s="13">
        <f>IF($B$9="HEPSİ",SUMIFS('HAM VERİ'!$G:$G,'HAM VERİ'!$A:$A,RAPOR1!$H15,'HAM VERİ'!$I:$I,RAPOR1!AA$13),SUMIFS('HAM VERİ'!$G:$G,'HAM VERİ'!$A:$A,RAPOR1!$H15,'HAM VERİ'!$I:$I,RAPOR1!AA$13,'HAM VERİ'!$D:$D,RAPOR1!$B$9))</f>
        <v>753150</v>
      </c>
      <c r="AC15" s="13">
        <f>IF($B$9="HEPSİ",SUMIFS('HAM VERİ'!$E:$E,'HAM VERİ'!$A:$A,RAPOR1!$H15,'HAM VERİ'!$I:$I,RAPOR1!AC$13),SUMIFS('HAM VERİ'!$E:$E,'HAM VERİ'!$A:$A,RAPOR1!$H15,'HAM VERİ'!$I:$I,RAPOR1!AC$13,'HAM VERİ'!$D:$D,RAPOR1!$B$9))</f>
        <v>263</v>
      </c>
      <c r="AD15" s="13">
        <f>IF($B$9="HEPSİ",SUMIFS('HAM VERİ'!$G:$G,'HAM VERİ'!$A:$A,RAPOR1!$H15,'HAM VERİ'!$I:$I,RAPOR1!AC$13),SUMIFS('HAM VERİ'!$G:$G,'HAM VERİ'!$A:$A,RAPOR1!$H15,'HAM VERİ'!$I:$I,RAPOR1!AC$13,'HAM VERİ'!$D:$D,RAPOR1!$B$9))</f>
        <v>933100</v>
      </c>
      <c r="AE15" s="13">
        <f>IF($B$9="HEPSİ",SUMIFS('HAM VERİ'!$E:$E,'HAM VERİ'!$A:$A,RAPOR1!$H15,'HAM VERİ'!$I:$I,RAPOR1!AE$13),SUMIFS('HAM VERİ'!$E:$E,'HAM VERİ'!$A:$A,RAPOR1!$H15,'HAM VERİ'!$I:$I,RAPOR1!AE$13,'HAM VERİ'!$D:$D,RAPOR1!$B$9))</f>
        <v>352</v>
      </c>
      <c r="AF15" s="13">
        <f>IF($B$9="HEPSİ",SUMIFS('HAM VERİ'!$G:$G,'HAM VERİ'!$A:$A,RAPOR1!$H15,'HAM VERİ'!$I:$I,RAPOR1!AE$13),SUMIFS('HAM VERİ'!$G:$G,'HAM VERİ'!$A:$A,RAPOR1!$H15,'HAM VERİ'!$I:$I,RAPOR1!AE$13,'HAM VERİ'!$D:$D,RAPOR1!$B$9))</f>
        <v>908850</v>
      </c>
      <c r="AG15" s="7"/>
      <c r="AH15" s="7"/>
      <c r="AI15" s="7"/>
      <c r="AJ15" s="7"/>
      <c r="AK15" s="7"/>
      <c r="AL15" s="7"/>
    </row>
    <row r="16" spans="1:38" x14ac:dyDescent="0.25">
      <c r="A16" s="7"/>
      <c r="B16" s="7"/>
      <c r="C16" s="7"/>
      <c r="D16" s="7"/>
      <c r="E16" s="7"/>
      <c r="F16" s="7"/>
      <c r="G16" s="7"/>
      <c r="H16" s="10" t="s">
        <v>15</v>
      </c>
      <c r="I16" s="18">
        <f>IF($B$9="HEPSİ",SUMIFS('HAM VERİ'!$E:$E,'HAM VERİ'!$A:$A,RAPOR1!$H16,'HAM VERİ'!$I:$I,RAPOR1!I$13),SUMIFS('HAM VERİ'!$E:$E,'HAM VERİ'!$A:$A,RAPOR1!$H16,'HAM VERİ'!$I:$I,RAPOR1!I$13,'HAM VERİ'!$D:$D,RAPOR1!$B$9))</f>
        <v>123</v>
      </c>
      <c r="J16" s="18">
        <f>IF($B$9="HEPSİ",SUMIFS('HAM VERİ'!$G:$G,'HAM VERİ'!$A:$A,RAPOR1!$H16,'HAM VERİ'!$I:$I,RAPOR1!I$13),SUMIFS('HAM VERİ'!$G:$G,'HAM VERİ'!$A:$A,RAPOR1!$H16,'HAM VERİ'!$I:$I,RAPOR1!I$13,'HAM VERİ'!$D:$D,RAPOR1!$B$9))</f>
        <v>682200</v>
      </c>
      <c r="K16" s="18">
        <f>IF($B$9="HEPSİ",SUMIFS('HAM VERİ'!$E:$E,'HAM VERİ'!$A:$A,RAPOR1!$H16,'HAM VERİ'!$I:$I,RAPOR1!K$13),SUMIFS('HAM VERİ'!$E:$E,'HAM VERİ'!$A:$A,RAPOR1!$H16,'HAM VERİ'!$I:$I,RAPOR1!K$13,'HAM VERİ'!$D:$D,RAPOR1!$B$9))</f>
        <v>63</v>
      </c>
      <c r="L16" s="18">
        <f>IF($B$9="HEPSİ",SUMIFS('HAM VERİ'!$G:$G,'HAM VERİ'!$A:$A,RAPOR1!$H16,'HAM VERİ'!$I:$I,RAPOR1!K$13),SUMIFS('HAM VERİ'!$G:$G,'HAM VERİ'!$A:$A,RAPOR1!$H16,'HAM VERİ'!$I:$I,RAPOR1!K$13,'HAM VERİ'!$D:$D,RAPOR1!$B$9))</f>
        <v>180250</v>
      </c>
      <c r="M16" s="18">
        <f>IF($B$9="HEPSİ",SUMIFS('HAM VERİ'!$E:$E,'HAM VERİ'!$A:$A,RAPOR1!$H16,'HAM VERİ'!$I:$I,RAPOR1!M$13),SUMIFS('HAM VERİ'!$E:$E,'HAM VERİ'!$A:$A,RAPOR1!$H16,'HAM VERİ'!$I:$I,RAPOR1!M$13,'HAM VERİ'!$D:$D,RAPOR1!$B$9))</f>
        <v>70</v>
      </c>
      <c r="N16" s="18">
        <f>IF($B$9="HEPSİ",SUMIFS('HAM VERİ'!$G:$G,'HAM VERİ'!$A:$A,RAPOR1!$H16,'HAM VERİ'!$I:$I,RAPOR1!M$13),SUMIFS('HAM VERİ'!$G:$G,'HAM VERİ'!$A:$A,RAPOR1!$H16,'HAM VERİ'!$I:$I,RAPOR1!M$13,'HAM VERİ'!$D:$D,RAPOR1!$B$9))</f>
        <v>250300</v>
      </c>
      <c r="O16" s="18">
        <f>IF($B$9="HEPSİ",SUMIFS('HAM VERİ'!$E:$E,'HAM VERİ'!$A:$A,RAPOR1!$H16,'HAM VERİ'!$I:$I,RAPOR1!O$13),SUMIFS('HAM VERİ'!$E:$E,'HAM VERİ'!$A:$A,RAPOR1!$H16,'HAM VERİ'!$I:$I,RAPOR1!O$13,'HAM VERİ'!$D:$D,RAPOR1!$B$9))</f>
        <v>96</v>
      </c>
      <c r="P16" s="18">
        <f>IF($B$9="HEPSİ",SUMIFS('HAM VERİ'!$G:$G,'HAM VERİ'!$A:$A,RAPOR1!$H16,'HAM VERİ'!$I:$I,RAPOR1!O$13),SUMIFS('HAM VERİ'!$G:$G,'HAM VERİ'!$A:$A,RAPOR1!$H16,'HAM VERİ'!$I:$I,RAPOR1!O$13,'HAM VERİ'!$D:$D,RAPOR1!$B$9))</f>
        <v>346950</v>
      </c>
      <c r="Q16" s="18">
        <f>IF($B$9="HEPSİ",SUMIFS('HAM VERİ'!$E:$E,'HAM VERİ'!$A:$A,RAPOR1!$H16,'HAM VERİ'!$I:$I,RAPOR1!Q$13),SUMIFS('HAM VERİ'!$E:$E,'HAM VERİ'!$A:$A,RAPOR1!$H16,'HAM VERİ'!$I:$I,RAPOR1!Q$13,'HAM VERİ'!$D:$D,RAPOR1!$B$9))</f>
        <v>66</v>
      </c>
      <c r="R16" s="18">
        <f>IF($B$9="HEPSİ",SUMIFS('HAM VERİ'!$G:$G,'HAM VERİ'!$A:$A,RAPOR1!$H16,'HAM VERİ'!$I:$I,RAPOR1!Q$13),SUMIFS('HAM VERİ'!$G:$G,'HAM VERİ'!$A:$A,RAPOR1!$H16,'HAM VERİ'!$I:$I,RAPOR1!Q$13,'HAM VERİ'!$D:$D,RAPOR1!$B$9))</f>
        <v>191350</v>
      </c>
      <c r="S16" s="18">
        <f>IF($B$9="HEPSİ",SUMIFS('HAM VERİ'!$E:$E,'HAM VERİ'!$A:$A,RAPOR1!$H16,'HAM VERİ'!$I:$I,RAPOR1!S$13),SUMIFS('HAM VERİ'!$E:$E,'HAM VERİ'!$A:$A,RAPOR1!$H16,'HAM VERİ'!$I:$I,RAPOR1!S$13,'HAM VERİ'!$D:$D,RAPOR1!$B$9))</f>
        <v>161</v>
      </c>
      <c r="T16" s="18">
        <f>IF($B$9="HEPSİ",SUMIFS('HAM VERİ'!$G:$G,'HAM VERİ'!$A:$A,RAPOR1!$H16,'HAM VERİ'!$I:$I,RAPOR1!S$13),SUMIFS('HAM VERİ'!$G:$G,'HAM VERİ'!$A:$A,RAPOR1!$H16,'HAM VERİ'!$I:$I,RAPOR1!S$13,'HAM VERİ'!$D:$D,RAPOR1!$B$9))</f>
        <v>567350</v>
      </c>
      <c r="U16" s="18">
        <f>IF($B$9="HEPSİ",SUMIFS('HAM VERİ'!$E:$E,'HAM VERİ'!$A:$A,RAPOR1!$H16,'HAM VERİ'!$I:$I,RAPOR1!U$13),SUMIFS('HAM VERİ'!$E:$E,'HAM VERİ'!$A:$A,RAPOR1!$H16,'HAM VERİ'!$I:$I,RAPOR1!U$13,'HAM VERİ'!$D:$D,RAPOR1!$B$9))</f>
        <v>182</v>
      </c>
      <c r="V16" s="18">
        <f>IF($B$9="HEPSİ",SUMIFS('HAM VERİ'!$G:$G,'HAM VERİ'!$A:$A,RAPOR1!$H16,'HAM VERİ'!$I:$I,RAPOR1!U$13),SUMIFS('HAM VERİ'!$G:$G,'HAM VERİ'!$A:$A,RAPOR1!$H16,'HAM VERİ'!$I:$I,RAPOR1!U$13,'HAM VERİ'!$D:$D,RAPOR1!$B$9))</f>
        <v>943200</v>
      </c>
      <c r="W16" s="18">
        <f>IF($B$9="HEPSİ",SUMIFS('HAM VERİ'!$E:$E,'HAM VERİ'!$A:$A,RAPOR1!$H16,'HAM VERİ'!$I:$I,RAPOR1!W$13),SUMIFS('HAM VERİ'!$E:$E,'HAM VERİ'!$A:$A,RAPOR1!$H16,'HAM VERİ'!$I:$I,RAPOR1!W$13,'HAM VERİ'!$D:$D,RAPOR1!$B$9))</f>
        <v>110</v>
      </c>
      <c r="X16" s="18">
        <f>IF($B$9="HEPSİ",SUMIFS('HAM VERİ'!$G:$G,'HAM VERİ'!$A:$A,RAPOR1!$H16,'HAM VERİ'!$I:$I,RAPOR1!W$13),SUMIFS('HAM VERİ'!$G:$G,'HAM VERİ'!$A:$A,RAPOR1!$H16,'HAM VERİ'!$I:$I,RAPOR1!W$13,'HAM VERİ'!$D:$D,RAPOR1!$B$9))</f>
        <v>373100</v>
      </c>
      <c r="Y16" s="18">
        <f>IF($B$9="HEPSİ",SUMIFS('HAM VERİ'!$E:$E,'HAM VERİ'!$A:$A,RAPOR1!$H16,'HAM VERİ'!$I:$I,RAPOR1!Y$13),SUMIFS('HAM VERİ'!$E:$E,'HAM VERİ'!$A:$A,RAPOR1!$H16,'HAM VERİ'!$I:$I,RAPOR1!Y$13,'HAM VERİ'!$D:$D,RAPOR1!$B$9))</f>
        <v>47</v>
      </c>
      <c r="Z16" s="18">
        <f>IF($B$9="HEPSİ",SUMIFS('HAM VERİ'!$G:$G,'HAM VERİ'!$A:$A,RAPOR1!$H16,'HAM VERİ'!$I:$I,RAPOR1!Y$13),SUMIFS('HAM VERİ'!$G:$G,'HAM VERİ'!$A:$A,RAPOR1!$H16,'HAM VERİ'!$I:$I,RAPOR1!Y$13,'HAM VERİ'!$D:$D,RAPOR1!$B$9))</f>
        <v>106000</v>
      </c>
      <c r="AA16" s="18">
        <f>IF($B$9="HEPSİ",SUMIFS('HAM VERİ'!$E:$E,'HAM VERİ'!$A:$A,RAPOR1!$H16,'HAM VERİ'!$I:$I,RAPOR1!AA$13),SUMIFS('HAM VERİ'!$E:$E,'HAM VERİ'!$A:$A,RAPOR1!$H16,'HAM VERİ'!$I:$I,RAPOR1!AA$13,'HAM VERİ'!$D:$D,RAPOR1!$B$9))</f>
        <v>62</v>
      </c>
      <c r="AB16" s="18">
        <f>IF($B$9="HEPSİ",SUMIFS('HAM VERİ'!$G:$G,'HAM VERİ'!$A:$A,RAPOR1!$H16,'HAM VERİ'!$I:$I,RAPOR1!AA$13),SUMIFS('HAM VERİ'!$G:$G,'HAM VERİ'!$A:$A,RAPOR1!$H16,'HAM VERİ'!$I:$I,RAPOR1!AA$13,'HAM VERİ'!$D:$D,RAPOR1!$B$9))</f>
        <v>83650</v>
      </c>
      <c r="AC16" s="18">
        <f>IF($B$9="HEPSİ",SUMIFS('HAM VERİ'!$E:$E,'HAM VERİ'!$A:$A,RAPOR1!$H16,'HAM VERİ'!$I:$I,RAPOR1!AC$13),SUMIFS('HAM VERİ'!$E:$E,'HAM VERİ'!$A:$A,RAPOR1!$H16,'HAM VERİ'!$I:$I,RAPOR1!AC$13,'HAM VERİ'!$D:$D,RAPOR1!$B$9))</f>
        <v>59</v>
      </c>
      <c r="AD16" s="18">
        <f>IF($B$9="HEPSİ",SUMIFS('HAM VERİ'!$G:$G,'HAM VERİ'!$A:$A,RAPOR1!$H16,'HAM VERİ'!$I:$I,RAPOR1!AC$13),SUMIFS('HAM VERİ'!$G:$G,'HAM VERİ'!$A:$A,RAPOR1!$H16,'HAM VERİ'!$I:$I,RAPOR1!AC$13,'HAM VERİ'!$D:$D,RAPOR1!$B$9))</f>
        <v>88800</v>
      </c>
      <c r="AE16" s="18">
        <f>IF($B$9="HEPSİ",SUMIFS('HAM VERİ'!$E:$E,'HAM VERİ'!$A:$A,RAPOR1!$H16,'HAM VERİ'!$I:$I,RAPOR1!AE$13),SUMIFS('HAM VERİ'!$E:$E,'HAM VERİ'!$A:$A,RAPOR1!$H16,'HAM VERİ'!$I:$I,RAPOR1!AE$13,'HAM VERİ'!$D:$D,RAPOR1!$B$9))</f>
        <v>35</v>
      </c>
      <c r="AF16" s="18">
        <f>IF($B$9="HEPSİ",SUMIFS('HAM VERİ'!$G:$G,'HAM VERİ'!$A:$A,RAPOR1!$H16,'HAM VERİ'!$I:$I,RAPOR1!AE$13),SUMIFS('HAM VERİ'!$G:$G,'HAM VERİ'!$A:$A,RAPOR1!$H16,'HAM VERİ'!$I:$I,RAPOR1!AE$13,'HAM VERİ'!$D:$D,RAPOR1!$B$9))</f>
        <v>83600</v>
      </c>
      <c r="AG16" s="7"/>
      <c r="AH16" s="7"/>
      <c r="AI16" s="7"/>
      <c r="AJ16" s="7"/>
      <c r="AK16" s="7"/>
      <c r="AL16" s="7"/>
    </row>
    <row r="17" spans="1:38" x14ac:dyDescent="0.25">
      <c r="A17" s="7"/>
      <c r="B17" s="7"/>
      <c r="C17" s="7"/>
      <c r="D17" s="7"/>
      <c r="E17" s="7"/>
      <c r="F17" s="7"/>
      <c r="G17" s="7"/>
      <c r="H17" s="10" t="s">
        <v>16</v>
      </c>
      <c r="I17" s="13">
        <f>IF($B$9="HEPSİ",SUMIFS('HAM VERİ'!$E:$E,'HAM VERİ'!$A:$A,RAPOR1!$H17,'HAM VERİ'!$I:$I,RAPOR1!I$13),SUMIFS('HAM VERİ'!$E:$E,'HAM VERİ'!$A:$A,RAPOR1!$H17,'HAM VERİ'!$I:$I,RAPOR1!I$13,'HAM VERİ'!$D:$D,RAPOR1!$B$9))</f>
        <v>6</v>
      </c>
      <c r="J17" s="13">
        <f>IF($B$9="HEPSİ",SUMIFS('HAM VERİ'!$G:$G,'HAM VERİ'!$A:$A,RAPOR1!$H17,'HAM VERİ'!$I:$I,RAPOR1!I$13),SUMIFS('HAM VERİ'!$G:$G,'HAM VERİ'!$A:$A,RAPOR1!$H17,'HAM VERİ'!$I:$I,RAPOR1!I$13,'HAM VERİ'!$D:$D,RAPOR1!$B$9))</f>
        <v>29550</v>
      </c>
      <c r="K17" s="13">
        <f>IF($B$9="HEPSİ",SUMIFS('HAM VERİ'!$E:$E,'HAM VERİ'!$A:$A,RAPOR1!$H17,'HAM VERİ'!$I:$I,RAPOR1!K$13),SUMIFS('HAM VERİ'!$E:$E,'HAM VERİ'!$A:$A,RAPOR1!$H17,'HAM VERİ'!$I:$I,RAPOR1!K$13,'HAM VERİ'!$D:$D,RAPOR1!$B$9))</f>
        <v>95</v>
      </c>
      <c r="L17" s="13">
        <f>IF($B$9="HEPSİ",SUMIFS('HAM VERİ'!$G:$G,'HAM VERİ'!$A:$A,RAPOR1!$H17,'HAM VERİ'!$I:$I,RAPOR1!K$13),SUMIFS('HAM VERİ'!$G:$G,'HAM VERİ'!$A:$A,RAPOR1!$H17,'HAM VERİ'!$I:$I,RAPOR1!K$13,'HAM VERİ'!$D:$D,RAPOR1!$B$9))</f>
        <v>373200</v>
      </c>
      <c r="M17" s="13">
        <f>IF($B$9="HEPSİ",SUMIFS('HAM VERİ'!$E:$E,'HAM VERİ'!$A:$A,RAPOR1!$H17,'HAM VERİ'!$I:$I,RAPOR1!M$13),SUMIFS('HAM VERİ'!$E:$E,'HAM VERİ'!$A:$A,RAPOR1!$H17,'HAM VERİ'!$I:$I,RAPOR1!M$13,'HAM VERİ'!$D:$D,RAPOR1!$B$9))</f>
        <v>16</v>
      </c>
      <c r="N17" s="13">
        <f>IF($B$9="HEPSİ",SUMIFS('HAM VERİ'!$G:$G,'HAM VERİ'!$A:$A,RAPOR1!$H17,'HAM VERİ'!$I:$I,RAPOR1!M$13),SUMIFS('HAM VERİ'!$G:$G,'HAM VERİ'!$A:$A,RAPOR1!$H17,'HAM VERİ'!$I:$I,RAPOR1!M$13,'HAM VERİ'!$D:$D,RAPOR1!$B$9))</f>
        <v>92950</v>
      </c>
      <c r="O17" s="13">
        <f>IF($B$9="HEPSİ",SUMIFS('HAM VERİ'!$E:$E,'HAM VERİ'!$A:$A,RAPOR1!$H17,'HAM VERİ'!$I:$I,RAPOR1!O$13),SUMIFS('HAM VERİ'!$E:$E,'HAM VERİ'!$A:$A,RAPOR1!$H17,'HAM VERİ'!$I:$I,RAPOR1!O$13,'HAM VERİ'!$D:$D,RAPOR1!$B$9))</f>
        <v>264</v>
      </c>
      <c r="P17" s="13">
        <f>IF($B$9="HEPSİ",SUMIFS('HAM VERİ'!$G:$G,'HAM VERİ'!$A:$A,RAPOR1!$H17,'HAM VERİ'!$I:$I,RAPOR1!O$13),SUMIFS('HAM VERİ'!$G:$G,'HAM VERİ'!$A:$A,RAPOR1!$H17,'HAM VERİ'!$I:$I,RAPOR1!O$13,'HAM VERİ'!$D:$D,RAPOR1!$B$9))</f>
        <v>913550</v>
      </c>
      <c r="Q17" s="13">
        <f>IF($B$9="HEPSİ",SUMIFS('HAM VERİ'!$E:$E,'HAM VERİ'!$A:$A,RAPOR1!$H17,'HAM VERİ'!$I:$I,RAPOR1!Q$13),SUMIFS('HAM VERİ'!$E:$E,'HAM VERİ'!$A:$A,RAPOR1!$H17,'HAM VERİ'!$I:$I,RAPOR1!Q$13,'HAM VERİ'!$D:$D,RAPOR1!$B$9))</f>
        <v>52</v>
      </c>
      <c r="R17" s="13">
        <f>IF($B$9="HEPSİ",SUMIFS('HAM VERİ'!$G:$G,'HAM VERİ'!$A:$A,RAPOR1!$H17,'HAM VERİ'!$I:$I,RAPOR1!Q$13),SUMIFS('HAM VERİ'!$G:$G,'HAM VERİ'!$A:$A,RAPOR1!$H17,'HAM VERİ'!$I:$I,RAPOR1!Q$13,'HAM VERİ'!$D:$D,RAPOR1!$B$9))</f>
        <v>176600</v>
      </c>
      <c r="S17" s="13">
        <f>IF($B$9="HEPSİ",SUMIFS('HAM VERİ'!$E:$E,'HAM VERİ'!$A:$A,RAPOR1!$H17,'HAM VERİ'!$I:$I,RAPOR1!S$13),SUMIFS('HAM VERİ'!$E:$E,'HAM VERİ'!$A:$A,RAPOR1!$H17,'HAM VERİ'!$I:$I,RAPOR1!S$13,'HAM VERİ'!$D:$D,RAPOR1!$B$9))</f>
        <v>126</v>
      </c>
      <c r="T17" s="13">
        <f>IF($B$9="HEPSİ",SUMIFS('HAM VERİ'!$G:$G,'HAM VERİ'!$A:$A,RAPOR1!$H17,'HAM VERİ'!$I:$I,RAPOR1!S$13),SUMIFS('HAM VERİ'!$G:$G,'HAM VERİ'!$A:$A,RAPOR1!$H17,'HAM VERİ'!$I:$I,RAPOR1!S$13,'HAM VERİ'!$D:$D,RAPOR1!$B$9))</f>
        <v>450800</v>
      </c>
      <c r="U17" s="13">
        <f>IF($B$9="HEPSİ",SUMIFS('HAM VERİ'!$E:$E,'HAM VERİ'!$A:$A,RAPOR1!$H17,'HAM VERİ'!$I:$I,RAPOR1!U$13),SUMIFS('HAM VERİ'!$E:$E,'HAM VERİ'!$A:$A,RAPOR1!$H17,'HAM VERİ'!$I:$I,RAPOR1!U$13,'HAM VERİ'!$D:$D,RAPOR1!$B$9))</f>
        <v>104</v>
      </c>
      <c r="V17" s="13">
        <f>IF($B$9="HEPSİ",SUMIFS('HAM VERİ'!$G:$G,'HAM VERİ'!$A:$A,RAPOR1!$H17,'HAM VERİ'!$I:$I,RAPOR1!U$13),SUMIFS('HAM VERİ'!$G:$G,'HAM VERİ'!$A:$A,RAPOR1!$H17,'HAM VERİ'!$I:$I,RAPOR1!U$13,'HAM VERİ'!$D:$D,RAPOR1!$B$9))</f>
        <v>314850</v>
      </c>
      <c r="W17" s="13">
        <f>IF($B$9="HEPSİ",SUMIFS('HAM VERİ'!$E:$E,'HAM VERİ'!$A:$A,RAPOR1!$H17,'HAM VERİ'!$I:$I,RAPOR1!W$13),SUMIFS('HAM VERİ'!$E:$E,'HAM VERİ'!$A:$A,RAPOR1!$H17,'HAM VERİ'!$I:$I,RAPOR1!W$13,'HAM VERİ'!$D:$D,RAPOR1!$B$9))</f>
        <v>85</v>
      </c>
      <c r="X17" s="13">
        <f>IF($B$9="HEPSİ",SUMIFS('HAM VERİ'!$G:$G,'HAM VERİ'!$A:$A,RAPOR1!$H17,'HAM VERİ'!$I:$I,RAPOR1!W$13),SUMIFS('HAM VERİ'!$G:$G,'HAM VERİ'!$A:$A,RAPOR1!$H17,'HAM VERİ'!$I:$I,RAPOR1!W$13,'HAM VERİ'!$D:$D,RAPOR1!$B$9))</f>
        <v>448950</v>
      </c>
      <c r="Y17" s="13">
        <f>IF($B$9="HEPSİ",SUMIFS('HAM VERİ'!$E:$E,'HAM VERİ'!$A:$A,RAPOR1!$H17,'HAM VERİ'!$I:$I,RAPOR1!Y$13),SUMIFS('HAM VERİ'!$E:$E,'HAM VERİ'!$A:$A,RAPOR1!$H17,'HAM VERİ'!$I:$I,RAPOR1!Y$13,'HAM VERİ'!$D:$D,RAPOR1!$B$9))</f>
        <v>65</v>
      </c>
      <c r="Z17" s="13">
        <f>IF($B$9="HEPSİ",SUMIFS('HAM VERİ'!$G:$G,'HAM VERİ'!$A:$A,RAPOR1!$H17,'HAM VERİ'!$I:$I,RAPOR1!Y$13),SUMIFS('HAM VERİ'!$G:$G,'HAM VERİ'!$A:$A,RAPOR1!$H17,'HAM VERİ'!$I:$I,RAPOR1!Y$13,'HAM VERİ'!$D:$D,RAPOR1!$B$9))</f>
        <v>186350</v>
      </c>
      <c r="AA17" s="13">
        <f>IF($B$9="HEPSİ",SUMIFS('HAM VERİ'!$E:$E,'HAM VERİ'!$A:$A,RAPOR1!$H17,'HAM VERİ'!$I:$I,RAPOR1!AA$13),SUMIFS('HAM VERİ'!$E:$E,'HAM VERİ'!$A:$A,RAPOR1!$H17,'HAM VERİ'!$I:$I,RAPOR1!AA$13,'HAM VERİ'!$D:$D,RAPOR1!$B$9))</f>
        <v>61</v>
      </c>
      <c r="AB17" s="13">
        <f>IF($B$9="HEPSİ",SUMIFS('HAM VERİ'!$G:$G,'HAM VERİ'!$A:$A,RAPOR1!$H17,'HAM VERİ'!$I:$I,RAPOR1!AA$13),SUMIFS('HAM VERİ'!$G:$G,'HAM VERİ'!$A:$A,RAPOR1!$H17,'HAM VERİ'!$I:$I,RAPOR1!AA$13,'HAM VERİ'!$D:$D,RAPOR1!$B$9))</f>
        <v>354750</v>
      </c>
      <c r="AC17" s="13">
        <f>IF($B$9="HEPSİ",SUMIFS('HAM VERİ'!$E:$E,'HAM VERİ'!$A:$A,RAPOR1!$H17,'HAM VERİ'!$I:$I,RAPOR1!AC$13),SUMIFS('HAM VERİ'!$E:$E,'HAM VERİ'!$A:$A,RAPOR1!$H17,'HAM VERİ'!$I:$I,RAPOR1!AC$13,'HAM VERİ'!$D:$D,RAPOR1!$B$9))</f>
        <v>73</v>
      </c>
      <c r="AD17" s="13">
        <f>IF($B$9="HEPSİ",SUMIFS('HAM VERİ'!$G:$G,'HAM VERİ'!$A:$A,RAPOR1!$H17,'HAM VERİ'!$I:$I,RAPOR1!AC$13),SUMIFS('HAM VERİ'!$G:$G,'HAM VERİ'!$A:$A,RAPOR1!$H17,'HAM VERİ'!$I:$I,RAPOR1!AC$13,'HAM VERİ'!$D:$D,RAPOR1!$B$9))</f>
        <v>504500</v>
      </c>
      <c r="AE17" s="13">
        <f>IF($B$9="HEPSİ",SUMIFS('HAM VERİ'!$E:$E,'HAM VERİ'!$A:$A,RAPOR1!$H17,'HAM VERİ'!$I:$I,RAPOR1!AE$13),SUMIFS('HAM VERİ'!$E:$E,'HAM VERİ'!$A:$A,RAPOR1!$H17,'HAM VERİ'!$I:$I,RAPOR1!AE$13,'HAM VERİ'!$D:$D,RAPOR1!$B$9))</f>
        <v>112</v>
      </c>
      <c r="AF17" s="13">
        <f>IF($B$9="HEPSİ",SUMIFS('HAM VERİ'!$G:$G,'HAM VERİ'!$A:$A,RAPOR1!$H17,'HAM VERİ'!$I:$I,RAPOR1!AE$13),SUMIFS('HAM VERİ'!$G:$G,'HAM VERİ'!$A:$A,RAPOR1!$H17,'HAM VERİ'!$I:$I,RAPOR1!AE$13,'HAM VERİ'!$D:$D,RAPOR1!$B$9))</f>
        <v>387550</v>
      </c>
      <c r="AG17" s="7"/>
      <c r="AH17" s="7"/>
      <c r="AI17" s="7"/>
      <c r="AJ17" s="7"/>
      <c r="AK17" s="7"/>
      <c r="AL17" s="7"/>
    </row>
    <row r="18" spans="1:38" x14ac:dyDescent="0.25">
      <c r="A18" s="7"/>
      <c r="B18" s="7"/>
      <c r="C18" s="7"/>
      <c r="D18" s="7"/>
      <c r="E18" s="7"/>
      <c r="F18" s="7"/>
      <c r="G18" s="7"/>
      <c r="H18" s="10" t="s">
        <v>17</v>
      </c>
      <c r="I18" s="18">
        <f>IF($B$9="HEPSİ",SUMIFS('HAM VERİ'!$E:$E,'HAM VERİ'!$A:$A,RAPOR1!$H18,'HAM VERİ'!$I:$I,RAPOR1!I$13),SUMIFS('HAM VERİ'!$E:$E,'HAM VERİ'!$A:$A,RAPOR1!$H18,'HAM VERİ'!$I:$I,RAPOR1!I$13,'HAM VERİ'!$D:$D,RAPOR1!$B$9))</f>
        <v>102</v>
      </c>
      <c r="J18" s="18">
        <f>IF($B$9="HEPSİ",SUMIFS('HAM VERİ'!$G:$G,'HAM VERİ'!$A:$A,RAPOR1!$H18,'HAM VERİ'!$I:$I,RAPOR1!I$13),SUMIFS('HAM VERİ'!$G:$G,'HAM VERİ'!$A:$A,RAPOR1!$H18,'HAM VERİ'!$I:$I,RAPOR1!I$13,'HAM VERİ'!$D:$D,RAPOR1!$B$9))</f>
        <v>261000</v>
      </c>
      <c r="K18" s="18">
        <f>IF($B$9="HEPSİ",SUMIFS('HAM VERİ'!$E:$E,'HAM VERİ'!$A:$A,RAPOR1!$H18,'HAM VERİ'!$I:$I,RAPOR1!K$13),SUMIFS('HAM VERİ'!$E:$E,'HAM VERİ'!$A:$A,RAPOR1!$H18,'HAM VERİ'!$I:$I,RAPOR1!K$13,'HAM VERİ'!$D:$D,RAPOR1!$B$9))</f>
        <v>72</v>
      </c>
      <c r="L18" s="18">
        <f>IF($B$9="HEPSİ",SUMIFS('HAM VERİ'!$G:$G,'HAM VERİ'!$A:$A,RAPOR1!$H18,'HAM VERİ'!$I:$I,RAPOR1!K$13),SUMIFS('HAM VERİ'!$G:$G,'HAM VERİ'!$A:$A,RAPOR1!$H18,'HAM VERİ'!$I:$I,RAPOR1!K$13,'HAM VERİ'!$D:$D,RAPOR1!$B$9))</f>
        <v>246750</v>
      </c>
      <c r="M18" s="18">
        <f>IF($B$9="HEPSİ",SUMIFS('HAM VERİ'!$E:$E,'HAM VERİ'!$A:$A,RAPOR1!$H18,'HAM VERİ'!$I:$I,RAPOR1!M$13),SUMIFS('HAM VERİ'!$E:$E,'HAM VERİ'!$A:$A,RAPOR1!$H18,'HAM VERİ'!$I:$I,RAPOR1!M$13,'HAM VERİ'!$D:$D,RAPOR1!$B$9))</f>
        <v>80</v>
      </c>
      <c r="N18" s="18">
        <f>IF($B$9="HEPSİ",SUMIFS('HAM VERİ'!$G:$G,'HAM VERİ'!$A:$A,RAPOR1!$H18,'HAM VERİ'!$I:$I,RAPOR1!M$13),SUMIFS('HAM VERİ'!$G:$G,'HAM VERİ'!$A:$A,RAPOR1!$H18,'HAM VERİ'!$I:$I,RAPOR1!M$13,'HAM VERİ'!$D:$D,RAPOR1!$B$9))</f>
        <v>122650</v>
      </c>
      <c r="O18" s="18">
        <f>IF($B$9="HEPSİ",SUMIFS('HAM VERİ'!$E:$E,'HAM VERİ'!$A:$A,RAPOR1!$H18,'HAM VERİ'!$I:$I,RAPOR1!O$13),SUMIFS('HAM VERİ'!$E:$E,'HAM VERİ'!$A:$A,RAPOR1!$H18,'HAM VERİ'!$I:$I,RAPOR1!O$13,'HAM VERİ'!$D:$D,RAPOR1!$B$9))</f>
        <v>25</v>
      </c>
      <c r="P18" s="18">
        <f>IF($B$9="HEPSİ",SUMIFS('HAM VERİ'!$G:$G,'HAM VERİ'!$A:$A,RAPOR1!$H18,'HAM VERİ'!$I:$I,RAPOR1!O$13),SUMIFS('HAM VERİ'!$G:$G,'HAM VERİ'!$A:$A,RAPOR1!$H18,'HAM VERİ'!$I:$I,RAPOR1!O$13,'HAM VERİ'!$D:$D,RAPOR1!$B$9))</f>
        <v>32900</v>
      </c>
      <c r="Q18" s="18">
        <f>IF($B$9="HEPSİ",SUMIFS('HAM VERİ'!$E:$E,'HAM VERİ'!$A:$A,RAPOR1!$H18,'HAM VERİ'!$I:$I,RAPOR1!Q$13),SUMIFS('HAM VERİ'!$E:$E,'HAM VERİ'!$A:$A,RAPOR1!$H18,'HAM VERİ'!$I:$I,RAPOR1!Q$13,'HAM VERİ'!$D:$D,RAPOR1!$B$9))</f>
        <v>19</v>
      </c>
      <c r="R18" s="18">
        <f>IF($B$9="HEPSİ",SUMIFS('HAM VERİ'!$G:$G,'HAM VERİ'!$A:$A,RAPOR1!$H18,'HAM VERİ'!$I:$I,RAPOR1!Q$13),SUMIFS('HAM VERİ'!$G:$G,'HAM VERİ'!$A:$A,RAPOR1!$H18,'HAM VERİ'!$I:$I,RAPOR1!Q$13,'HAM VERİ'!$D:$D,RAPOR1!$B$9))</f>
        <v>39000</v>
      </c>
      <c r="S18" s="18">
        <f>IF($B$9="HEPSİ",SUMIFS('HAM VERİ'!$E:$E,'HAM VERİ'!$A:$A,RAPOR1!$H18,'HAM VERİ'!$I:$I,RAPOR1!S$13),SUMIFS('HAM VERİ'!$E:$E,'HAM VERİ'!$A:$A,RAPOR1!$H18,'HAM VERİ'!$I:$I,RAPOR1!S$13,'HAM VERİ'!$D:$D,RAPOR1!$B$9))</f>
        <v>92</v>
      </c>
      <c r="T18" s="18">
        <f>IF($B$9="HEPSİ",SUMIFS('HAM VERİ'!$G:$G,'HAM VERİ'!$A:$A,RAPOR1!$H18,'HAM VERİ'!$I:$I,RAPOR1!S$13),SUMIFS('HAM VERİ'!$G:$G,'HAM VERİ'!$A:$A,RAPOR1!$H18,'HAM VERİ'!$I:$I,RAPOR1!S$13,'HAM VERİ'!$D:$D,RAPOR1!$B$9))</f>
        <v>254850</v>
      </c>
      <c r="U18" s="18">
        <f>IF($B$9="HEPSİ",SUMIFS('HAM VERİ'!$E:$E,'HAM VERİ'!$A:$A,RAPOR1!$H18,'HAM VERİ'!$I:$I,RAPOR1!U$13),SUMIFS('HAM VERİ'!$E:$E,'HAM VERİ'!$A:$A,RAPOR1!$H18,'HAM VERİ'!$I:$I,RAPOR1!U$13,'HAM VERİ'!$D:$D,RAPOR1!$B$9))</f>
        <v>82</v>
      </c>
      <c r="V18" s="18">
        <f>IF($B$9="HEPSİ",SUMIFS('HAM VERİ'!$G:$G,'HAM VERİ'!$A:$A,RAPOR1!$H18,'HAM VERİ'!$I:$I,RAPOR1!U$13),SUMIFS('HAM VERİ'!$G:$G,'HAM VERİ'!$A:$A,RAPOR1!$H18,'HAM VERİ'!$I:$I,RAPOR1!U$13,'HAM VERİ'!$D:$D,RAPOR1!$B$9))</f>
        <v>245200</v>
      </c>
      <c r="W18" s="18">
        <f>IF($B$9="HEPSİ",SUMIFS('HAM VERİ'!$E:$E,'HAM VERİ'!$A:$A,RAPOR1!$H18,'HAM VERİ'!$I:$I,RAPOR1!W$13),SUMIFS('HAM VERİ'!$E:$E,'HAM VERİ'!$A:$A,RAPOR1!$H18,'HAM VERİ'!$I:$I,RAPOR1!W$13,'HAM VERİ'!$D:$D,RAPOR1!$B$9))</f>
        <v>83</v>
      </c>
      <c r="X18" s="18">
        <f>IF($B$9="HEPSİ",SUMIFS('HAM VERİ'!$G:$G,'HAM VERİ'!$A:$A,RAPOR1!$H18,'HAM VERİ'!$I:$I,RAPOR1!W$13),SUMIFS('HAM VERİ'!$G:$G,'HAM VERİ'!$A:$A,RAPOR1!$H18,'HAM VERİ'!$I:$I,RAPOR1!W$13,'HAM VERİ'!$D:$D,RAPOR1!$B$9))</f>
        <v>186600</v>
      </c>
      <c r="Y18" s="18">
        <f>IF($B$9="HEPSİ",SUMIFS('HAM VERİ'!$E:$E,'HAM VERİ'!$A:$A,RAPOR1!$H18,'HAM VERİ'!$I:$I,RAPOR1!Y$13),SUMIFS('HAM VERİ'!$E:$E,'HAM VERİ'!$A:$A,RAPOR1!$H18,'HAM VERİ'!$I:$I,RAPOR1!Y$13,'HAM VERİ'!$D:$D,RAPOR1!$B$9))</f>
        <v>38</v>
      </c>
      <c r="Z18" s="18">
        <f>IF($B$9="HEPSİ",SUMIFS('HAM VERİ'!$G:$G,'HAM VERİ'!$A:$A,RAPOR1!$H18,'HAM VERİ'!$I:$I,RAPOR1!Y$13),SUMIFS('HAM VERİ'!$G:$G,'HAM VERİ'!$A:$A,RAPOR1!$H18,'HAM VERİ'!$I:$I,RAPOR1!Y$13,'HAM VERİ'!$D:$D,RAPOR1!$B$9))</f>
        <v>73150</v>
      </c>
      <c r="AA18" s="18">
        <f>IF($B$9="HEPSİ",SUMIFS('HAM VERİ'!$E:$E,'HAM VERİ'!$A:$A,RAPOR1!$H18,'HAM VERİ'!$I:$I,RAPOR1!AA$13),SUMIFS('HAM VERİ'!$E:$E,'HAM VERİ'!$A:$A,RAPOR1!$H18,'HAM VERİ'!$I:$I,RAPOR1!AA$13,'HAM VERİ'!$D:$D,RAPOR1!$B$9))</f>
        <v>115</v>
      </c>
      <c r="AB18" s="18">
        <f>IF($B$9="HEPSİ",SUMIFS('HAM VERİ'!$G:$G,'HAM VERİ'!$A:$A,RAPOR1!$H18,'HAM VERİ'!$I:$I,RAPOR1!AA$13),SUMIFS('HAM VERİ'!$G:$G,'HAM VERİ'!$A:$A,RAPOR1!$H18,'HAM VERİ'!$I:$I,RAPOR1!AA$13,'HAM VERİ'!$D:$D,RAPOR1!$B$9))</f>
        <v>313750</v>
      </c>
      <c r="AC18" s="18">
        <f>IF($B$9="HEPSİ",SUMIFS('HAM VERİ'!$E:$E,'HAM VERİ'!$A:$A,RAPOR1!$H18,'HAM VERİ'!$I:$I,RAPOR1!AC$13),SUMIFS('HAM VERİ'!$E:$E,'HAM VERİ'!$A:$A,RAPOR1!$H18,'HAM VERİ'!$I:$I,RAPOR1!AC$13,'HAM VERİ'!$D:$D,RAPOR1!$B$9))</f>
        <v>110</v>
      </c>
      <c r="AD18" s="18">
        <f>IF($B$9="HEPSİ",SUMIFS('HAM VERİ'!$G:$G,'HAM VERİ'!$A:$A,RAPOR1!$H18,'HAM VERİ'!$I:$I,RAPOR1!AC$13),SUMIFS('HAM VERİ'!$G:$G,'HAM VERİ'!$A:$A,RAPOR1!$H18,'HAM VERİ'!$I:$I,RAPOR1!AC$13,'HAM VERİ'!$D:$D,RAPOR1!$B$9))</f>
        <v>689550</v>
      </c>
      <c r="AE18" s="18">
        <f>IF($B$9="HEPSİ",SUMIFS('HAM VERİ'!$E:$E,'HAM VERİ'!$A:$A,RAPOR1!$H18,'HAM VERİ'!$I:$I,RAPOR1!AE$13),SUMIFS('HAM VERİ'!$E:$E,'HAM VERİ'!$A:$A,RAPOR1!$H18,'HAM VERİ'!$I:$I,RAPOR1!AE$13,'HAM VERİ'!$D:$D,RAPOR1!$B$9))</f>
        <v>29</v>
      </c>
      <c r="AF18" s="18">
        <f>IF($B$9="HEPSİ",SUMIFS('HAM VERİ'!$G:$G,'HAM VERİ'!$A:$A,RAPOR1!$H18,'HAM VERİ'!$I:$I,RAPOR1!AE$13),SUMIFS('HAM VERİ'!$G:$G,'HAM VERİ'!$A:$A,RAPOR1!$H18,'HAM VERİ'!$I:$I,RAPOR1!AE$13,'HAM VERİ'!$D:$D,RAPOR1!$B$9))</f>
        <v>59500</v>
      </c>
      <c r="AG18" s="7"/>
      <c r="AH18" s="7"/>
      <c r="AI18" s="7"/>
      <c r="AJ18" s="7"/>
      <c r="AK18" s="7"/>
      <c r="AL18" s="7"/>
    </row>
    <row r="19" spans="1:38" x14ac:dyDescent="0.25">
      <c r="A19" s="7"/>
      <c r="B19" s="7"/>
      <c r="C19" s="7"/>
      <c r="D19" s="7"/>
      <c r="E19" s="7"/>
      <c r="F19" s="7"/>
      <c r="G19" s="7"/>
      <c r="H19" s="10" t="s">
        <v>18</v>
      </c>
      <c r="I19" s="13">
        <f>IF($B$9="HEPSİ",SUMIFS('HAM VERİ'!$E:$E,'HAM VERİ'!$A:$A,RAPOR1!$H19,'HAM VERİ'!$I:$I,RAPOR1!I$13),SUMIFS('HAM VERİ'!$E:$E,'HAM VERİ'!$A:$A,RAPOR1!$H19,'HAM VERİ'!$I:$I,RAPOR1!I$13,'HAM VERİ'!$D:$D,RAPOR1!$B$9))</f>
        <v>161</v>
      </c>
      <c r="J19" s="13">
        <f>IF($B$9="HEPSİ",SUMIFS('HAM VERİ'!$G:$G,'HAM VERİ'!$A:$A,RAPOR1!$H19,'HAM VERİ'!$I:$I,RAPOR1!I$13),SUMIFS('HAM VERİ'!$G:$G,'HAM VERİ'!$A:$A,RAPOR1!$H19,'HAM VERİ'!$I:$I,RAPOR1!I$13,'HAM VERİ'!$D:$D,RAPOR1!$B$9))</f>
        <v>846600</v>
      </c>
      <c r="K19" s="13">
        <f>IF($B$9="HEPSİ",SUMIFS('HAM VERİ'!$E:$E,'HAM VERİ'!$A:$A,RAPOR1!$H19,'HAM VERİ'!$I:$I,RAPOR1!K$13),SUMIFS('HAM VERİ'!$E:$E,'HAM VERİ'!$A:$A,RAPOR1!$H19,'HAM VERİ'!$I:$I,RAPOR1!K$13,'HAM VERİ'!$D:$D,RAPOR1!$B$9))</f>
        <v>115</v>
      </c>
      <c r="L19" s="13">
        <f>IF($B$9="HEPSİ",SUMIFS('HAM VERİ'!$G:$G,'HAM VERİ'!$A:$A,RAPOR1!$H19,'HAM VERİ'!$I:$I,RAPOR1!K$13),SUMIFS('HAM VERİ'!$G:$G,'HAM VERİ'!$A:$A,RAPOR1!$H19,'HAM VERİ'!$I:$I,RAPOR1!K$13,'HAM VERİ'!$D:$D,RAPOR1!$B$9))</f>
        <v>410900</v>
      </c>
      <c r="M19" s="13">
        <f>IF($B$9="HEPSİ",SUMIFS('HAM VERİ'!$E:$E,'HAM VERİ'!$A:$A,RAPOR1!$H19,'HAM VERİ'!$I:$I,RAPOR1!M$13),SUMIFS('HAM VERİ'!$E:$E,'HAM VERİ'!$A:$A,RAPOR1!$H19,'HAM VERİ'!$I:$I,RAPOR1!M$13,'HAM VERİ'!$D:$D,RAPOR1!$B$9))</f>
        <v>82</v>
      </c>
      <c r="N19" s="13">
        <f>IF($B$9="HEPSİ",SUMIFS('HAM VERİ'!$G:$G,'HAM VERİ'!$A:$A,RAPOR1!$H19,'HAM VERİ'!$I:$I,RAPOR1!M$13),SUMIFS('HAM VERİ'!$G:$G,'HAM VERİ'!$A:$A,RAPOR1!$H19,'HAM VERİ'!$I:$I,RAPOR1!M$13,'HAM VERİ'!$D:$D,RAPOR1!$B$9))</f>
        <v>160000</v>
      </c>
      <c r="O19" s="13">
        <f>IF($B$9="HEPSİ",SUMIFS('HAM VERİ'!$E:$E,'HAM VERİ'!$A:$A,RAPOR1!$H19,'HAM VERİ'!$I:$I,RAPOR1!O$13),SUMIFS('HAM VERİ'!$E:$E,'HAM VERİ'!$A:$A,RAPOR1!$H19,'HAM VERİ'!$I:$I,RAPOR1!O$13,'HAM VERİ'!$D:$D,RAPOR1!$B$9))</f>
        <v>151</v>
      </c>
      <c r="P19" s="13">
        <f>IF($B$9="HEPSİ",SUMIFS('HAM VERİ'!$G:$G,'HAM VERİ'!$A:$A,RAPOR1!$H19,'HAM VERİ'!$I:$I,RAPOR1!O$13),SUMIFS('HAM VERİ'!$G:$G,'HAM VERİ'!$A:$A,RAPOR1!$H19,'HAM VERİ'!$I:$I,RAPOR1!O$13,'HAM VERİ'!$D:$D,RAPOR1!$B$9))</f>
        <v>538500</v>
      </c>
      <c r="Q19" s="13">
        <f>IF($B$9="HEPSİ",SUMIFS('HAM VERİ'!$E:$E,'HAM VERİ'!$A:$A,RAPOR1!$H19,'HAM VERİ'!$I:$I,RAPOR1!Q$13),SUMIFS('HAM VERİ'!$E:$E,'HAM VERİ'!$A:$A,RAPOR1!$H19,'HAM VERİ'!$I:$I,RAPOR1!Q$13,'HAM VERİ'!$D:$D,RAPOR1!$B$9))</f>
        <v>171</v>
      </c>
      <c r="R19" s="13">
        <f>IF($B$9="HEPSİ",SUMIFS('HAM VERİ'!$G:$G,'HAM VERİ'!$A:$A,RAPOR1!$H19,'HAM VERİ'!$I:$I,RAPOR1!Q$13),SUMIFS('HAM VERİ'!$G:$G,'HAM VERİ'!$A:$A,RAPOR1!$H19,'HAM VERİ'!$I:$I,RAPOR1!Q$13,'HAM VERİ'!$D:$D,RAPOR1!$B$9))</f>
        <v>596600</v>
      </c>
      <c r="S19" s="13">
        <f>IF($B$9="HEPSİ",SUMIFS('HAM VERİ'!$E:$E,'HAM VERİ'!$A:$A,RAPOR1!$H19,'HAM VERİ'!$I:$I,RAPOR1!S$13),SUMIFS('HAM VERİ'!$E:$E,'HAM VERİ'!$A:$A,RAPOR1!$H19,'HAM VERİ'!$I:$I,RAPOR1!S$13,'HAM VERİ'!$D:$D,RAPOR1!$B$9))</f>
        <v>134</v>
      </c>
      <c r="T19" s="13">
        <f>IF($B$9="HEPSİ",SUMIFS('HAM VERİ'!$G:$G,'HAM VERİ'!$A:$A,RAPOR1!$H19,'HAM VERİ'!$I:$I,RAPOR1!S$13),SUMIFS('HAM VERİ'!$G:$G,'HAM VERİ'!$A:$A,RAPOR1!$H19,'HAM VERİ'!$I:$I,RAPOR1!S$13,'HAM VERİ'!$D:$D,RAPOR1!$B$9))</f>
        <v>306050</v>
      </c>
      <c r="U19" s="13">
        <f>IF($B$9="HEPSİ",SUMIFS('HAM VERİ'!$E:$E,'HAM VERİ'!$A:$A,RAPOR1!$H19,'HAM VERİ'!$I:$I,RAPOR1!U$13),SUMIFS('HAM VERİ'!$E:$E,'HAM VERİ'!$A:$A,RAPOR1!$H19,'HAM VERİ'!$I:$I,RAPOR1!U$13,'HAM VERİ'!$D:$D,RAPOR1!$B$9))</f>
        <v>172</v>
      </c>
      <c r="V19" s="13">
        <f>IF($B$9="HEPSİ",SUMIFS('HAM VERİ'!$G:$G,'HAM VERİ'!$A:$A,RAPOR1!$H19,'HAM VERİ'!$I:$I,RAPOR1!U$13),SUMIFS('HAM VERİ'!$G:$G,'HAM VERİ'!$A:$A,RAPOR1!$H19,'HAM VERİ'!$I:$I,RAPOR1!U$13,'HAM VERİ'!$D:$D,RAPOR1!$B$9))</f>
        <v>966250</v>
      </c>
      <c r="W19" s="13">
        <f>IF($B$9="HEPSİ",SUMIFS('HAM VERİ'!$E:$E,'HAM VERİ'!$A:$A,RAPOR1!$H19,'HAM VERİ'!$I:$I,RAPOR1!W$13),SUMIFS('HAM VERİ'!$E:$E,'HAM VERİ'!$A:$A,RAPOR1!$H19,'HAM VERİ'!$I:$I,RAPOR1!W$13,'HAM VERİ'!$D:$D,RAPOR1!$B$9))</f>
        <v>163</v>
      </c>
      <c r="X19" s="13">
        <f>IF($B$9="HEPSİ",SUMIFS('HAM VERİ'!$G:$G,'HAM VERİ'!$A:$A,RAPOR1!$H19,'HAM VERİ'!$I:$I,RAPOR1!W$13),SUMIFS('HAM VERİ'!$G:$G,'HAM VERİ'!$A:$A,RAPOR1!$H19,'HAM VERİ'!$I:$I,RAPOR1!W$13,'HAM VERİ'!$D:$D,RAPOR1!$B$9))</f>
        <v>340800</v>
      </c>
      <c r="Y19" s="13">
        <f>IF($B$9="HEPSİ",SUMIFS('HAM VERİ'!$E:$E,'HAM VERİ'!$A:$A,RAPOR1!$H19,'HAM VERİ'!$I:$I,RAPOR1!Y$13),SUMIFS('HAM VERİ'!$E:$E,'HAM VERİ'!$A:$A,RAPOR1!$H19,'HAM VERİ'!$I:$I,RAPOR1!Y$13,'HAM VERİ'!$D:$D,RAPOR1!$B$9))</f>
        <v>73</v>
      </c>
      <c r="Z19" s="13">
        <f>IF($B$9="HEPSİ",SUMIFS('HAM VERİ'!$G:$G,'HAM VERİ'!$A:$A,RAPOR1!$H19,'HAM VERİ'!$I:$I,RAPOR1!Y$13),SUMIFS('HAM VERİ'!$G:$G,'HAM VERİ'!$A:$A,RAPOR1!$H19,'HAM VERİ'!$I:$I,RAPOR1!Y$13,'HAM VERİ'!$D:$D,RAPOR1!$B$9))</f>
        <v>227000</v>
      </c>
      <c r="AA19" s="13">
        <f>IF($B$9="HEPSİ",SUMIFS('HAM VERİ'!$E:$E,'HAM VERİ'!$A:$A,RAPOR1!$H19,'HAM VERİ'!$I:$I,RAPOR1!AA$13),SUMIFS('HAM VERİ'!$E:$E,'HAM VERİ'!$A:$A,RAPOR1!$H19,'HAM VERİ'!$I:$I,RAPOR1!AA$13,'HAM VERİ'!$D:$D,RAPOR1!$B$9))</f>
        <v>37</v>
      </c>
      <c r="AB19" s="13">
        <f>IF($B$9="HEPSİ",SUMIFS('HAM VERİ'!$G:$G,'HAM VERİ'!$A:$A,RAPOR1!$H19,'HAM VERİ'!$I:$I,RAPOR1!AA$13),SUMIFS('HAM VERİ'!$G:$G,'HAM VERİ'!$A:$A,RAPOR1!$H19,'HAM VERİ'!$I:$I,RAPOR1!AA$13,'HAM VERİ'!$D:$D,RAPOR1!$B$9))</f>
        <v>107850</v>
      </c>
      <c r="AC19" s="13">
        <f>IF($B$9="HEPSİ",SUMIFS('HAM VERİ'!$E:$E,'HAM VERİ'!$A:$A,RAPOR1!$H19,'HAM VERİ'!$I:$I,RAPOR1!AC$13),SUMIFS('HAM VERİ'!$E:$E,'HAM VERİ'!$A:$A,RAPOR1!$H19,'HAM VERİ'!$I:$I,RAPOR1!AC$13,'HAM VERİ'!$D:$D,RAPOR1!$B$9))</f>
        <v>74</v>
      </c>
      <c r="AD19" s="13">
        <f>IF($B$9="HEPSİ",SUMIFS('HAM VERİ'!$G:$G,'HAM VERİ'!$A:$A,RAPOR1!$H19,'HAM VERİ'!$I:$I,RAPOR1!AC$13),SUMIFS('HAM VERİ'!$G:$G,'HAM VERİ'!$A:$A,RAPOR1!$H19,'HAM VERİ'!$I:$I,RAPOR1!AC$13,'HAM VERİ'!$D:$D,RAPOR1!$B$9))</f>
        <v>138700</v>
      </c>
      <c r="AE19" s="13">
        <f>IF($B$9="HEPSİ",SUMIFS('HAM VERİ'!$E:$E,'HAM VERİ'!$A:$A,RAPOR1!$H19,'HAM VERİ'!$I:$I,RAPOR1!AE$13),SUMIFS('HAM VERİ'!$E:$E,'HAM VERİ'!$A:$A,RAPOR1!$H19,'HAM VERİ'!$I:$I,RAPOR1!AE$13,'HAM VERİ'!$D:$D,RAPOR1!$B$9))</f>
        <v>115</v>
      </c>
      <c r="AF19" s="13">
        <f>IF($B$9="HEPSİ",SUMIFS('HAM VERİ'!$G:$G,'HAM VERİ'!$A:$A,RAPOR1!$H19,'HAM VERİ'!$I:$I,RAPOR1!AE$13),SUMIFS('HAM VERİ'!$G:$G,'HAM VERİ'!$A:$A,RAPOR1!$H19,'HAM VERİ'!$I:$I,RAPOR1!AE$13,'HAM VERİ'!$D:$D,RAPOR1!$B$9))</f>
        <v>180600</v>
      </c>
      <c r="AG19" s="7"/>
      <c r="AH19" s="7"/>
      <c r="AI19" s="7"/>
      <c r="AJ19" s="7"/>
      <c r="AK19" s="7"/>
      <c r="AL19" s="7"/>
    </row>
    <row r="20" spans="1:38" x14ac:dyDescent="0.25">
      <c r="A20" s="7"/>
      <c r="B20" s="7"/>
      <c r="C20" s="7"/>
      <c r="D20" s="7"/>
      <c r="E20" s="7"/>
      <c r="F20" s="7"/>
      <c r="G20" s="7"/>
      <c r="H20" s="10" t="s">
        <v>19</v>
      </c>
      <c r="I20" s="18">
        <f>IF($B$9="HEPSİ",SUMIFS('HAM VERİ'!$E:$E,'HAM VERİ'!$A:$A,RAPOR1!$H20,'HAM VERİ'!$I:$I,RAPOR1!I$13),SUMIFS('HAM VERİ'!$E:$E,'HAM VERİ'!$A:$A,RAPOR1!$H20,'HAM VERİ'!$I:$I,RAPOR1!I$13,'HAM VERİ'!$D:$D,RAPOR1!$B$9))</f>
        <v>129</v>
      </c>
      <c r="J20" s="18">
        <f>IF($B$9="HEPSİ",SUMIFS('HAM VERİ'!$G:$G,'HAM VERİ'!$A:$A,RAPOR1!$H20,'HAM VERİ'!$I:$I,RAPOR1!I$13),SUMIFS('HAM VERİ'!$G:$G,'HAM VERİ'!$A:$A,RAPOR1!$H20,'HAM VERİ'!$I:$I,RAPOR1!I$13,'HAM VERİ'!$D:$D,RAPOR1!$B$9))</f>
        <v>391650</v>
      </c>
      <c r="K20" s="18">
        <f>IF($B$9="HEPSİ",SUMIFS('HAM VERİ'!$E:$E,'HAM VERİ'!$A:$A,RAPOR1!$H20,'HAM VERİ'!$I:$I,RAPOR1!K$13),SUMIFS('HAM VERİ'!$E:$E,'HAM VERİ'!$A:$A,RAPOR1!$H20,'HAM VERİ'!$I:$I,RAPOR1!K$13,'HAM VERİ'!$D:$D,RAPOR1!$B$9))</f>
        <v>127</v>
      </c>
      <c r="L20" s="18">
        <f>IF($B$9="HEPSİ",SUMIFS('HAM VERİ'!$G:$G,'HAM VERİ'!$A:$A,RAPOR1!$H20,'HAM VERİ'!$I:$I,RAPOR1!K$13),SUMIFS('HAM VERİ'!$G:$G,'HAM VERİ'!$A:$A,RAPOR1!$H20,'HAM VERİ'!$I:$I,RAPOR1!K$13,'HAM VERİ'!$D:$D,RAPOR1!$B$9))</f>
        <v>449450</v>
      </c>
      <c r="M20" s="18">
        <f>IF($B$9="HEPSİ",SUMIFS('HAM VERİ'!$E:$E,'HAM VERİ'!$A:$A,RAPOR1!$H20,'HAM VERİ'!$I:$I,RAPOR1!M$13),SUMIFS('HAM VERİ'!$E:$E,'HAM VERİ'!$A:$A,RAPOR1!$H20,'HAM VERİ'!$I:$I,RAPOR1!M$13,'HAM VERİ'!$D:$D,RAPOR1!$B$9))</f>
        <v>140</v>
      </c>
      <c r="N20" s="18">
        <f>IF($B$9="HEPSİ",SUMIFS('HAM VERİ'!$G:$G,'HAM VERİ'!$A:$A,RAPOR1!$H20,'HAM VERİ'!$I:$I,RAPOR1!M$13),SUMIFS('HAM VERİ'!$G:$G,'HAM VERİ'!$A:$A,RAPOR1!$H20,'HAM VERİ'!$I:$I,RAPOR1!M$13,'HAM VERİ'!$D:$D,RAPOR1!$B$9))</f>
        <v>284300</v>
      </c>
      <c r="O20" s="18">
        <f>IF($B$9="HEPSİ",SUMIFS('HAM VERİ'!$E:$E,'HAM VERİ'!$A:$A,RAPOR1!$H20,'HAM VERİ'!$I:$I,RAPOR1!O$13),SUMIFS('HAM VERİ'!$E:$E,'HAM VERİ'!$A:$A,RAPOR1!$H20,'HAM VERİ'!$I:$I,RAPOR1!O$13,'HAM VERİ'!$D:$D,RAPOR1!$B$9))</f>
        <v>89</v>
      </c>
      <c r="P20" s="18">
        <f>IF($B$9="HEPSİ",SUMIFS('HAM VERİ'!$G:$G,'HAM VERİ'!$A:$A,RAPOR1!$H20,'HAM VERİ'!$I:$I,RAPOR1!O$13),SUMIFS('HAM VERİ'!$G:$G,'HAM VERİ'!$A:$A,RAPOR1!$H20,'HAM VERİ'!$I:$I,RAPOR1!O$13,'HAM VERİ'!$D:$D,RAPOR1!$B$9))</f>
        <v>226150</v>
      </c>
      <c r="Q20" s="18">
        <f>IF($B$9="HEPSİ",SUMIFS('HAM VERİ'!$E:$E,'HAM VERİ'!$A:$A,RAPOR1!$H20,'HAM VERİ'!$I:$I,RAPOR1!Q$13),SUMIFS('HAM VERİ'!$E:$E,'HAM VERİ'!$A:$A,RAPOR1!$H20,'HAM VERİ'!$I:$I,RAPOR1!Q$13,'HAM VERİ'!$D:$D,RAPOR1!$B$9))</f>
        <v>151</v>
      </c>
      <c r="R20" s="18">
        <f>IF($B$9="HEPSİ",SUMIFS('HAM VERİ'!$G:$G,'HAM VERİ'!$A:$A,RAPOR1!$H20,'HAM VERİ'!$I:$I,RAPOR1!Q$13),SUMIFS('HAM VERİ'!$G:$G,'HAM VERİ'!$A:$A,RAPOR1!$H20,'HAM VERİ'!$I:$I,RAPOR1!Q$13,'HAM VERİ'!$D:$D,RAPOR1!$B$9))</f>
        <v>395900</v>
      </c>
      <c r="S20" s="18">
        <f>IF($B$9="HEPSİ",SUMIFS('HAM VERİ'!$E:$E,'HAM VERİ'!$A:$A,RAPOR1!$H20,'HAM VERİ'!$I:$I,RAPOR1!S$13),SUMIFS('HAM VERİ'!$E:$E,'HAM VERİ'!$A:$A,RAPOR1!$H20,'HAM VERİ'!$I:$I,RAPOR1!S$13,'HAM VERİ'!$D:$D,RAPOR1!$B$9))</f>
        <v>226</v>
      </c>
      <c r="T20" s="18">
        <f>IF($B$9="HEPSİ",SUMIFS('HAM VERİ'!$G:$G,'HAM VERİ'!$A:$A,RAPOR1!$H20,'HAM VERİ'!$I:$I,RAPOR1!S$13),SUMIFS('HAM VERİ'!$G:$G,'HAM VERİ'!$A:$A,RAPOR1!$H20,'HAM VERİ'!$I:$I,RAPOR1!S$13,'HAM VERİ'!$D:$D,RAPOR1!$B$9))</f>
        <v>981300</v>
      </c>
      <c r="U20" s="18">
        <f>IF($B$9="HEPSİ",SUMIFS('HAM VERİ'!$E:$E,'HAM VERİ'!$A:$A,RAPOR1!$H20,'HAM VERİ'!$I:$I,RAPOR1!U$13),SUMIFS('HAM VERİ'!$E:$E,'HAM VERİ'!$A:$A,RAPOR1!$H20,'HAM VERİ'!$I:$I,RAPOR1!U$13,'HAM VERİ'!$D:$D,RAPOR1!$B$9))</f>
        <v>197</v>
      </c>
      <c r="V20" s="18">
        <f>IF($B$9="HEPSİ",SUMIFS('HAM VERİ'!$G:$G,'HAM VERİ'!$A:$A,RAPOR1!$H20,'HAM VERİ'!$I:$I,RAPOR1!U$13),SUMIFS('HAM VERİ'!$G:$G,'HAM VERİ'!$A:$A,RAPOR1!$H20,'HAM VERİ'!$I:$I,RAPOR1!U$13,'HAM VERİ'!$D:$D,RAPOR1!$B$9))</f>
        <v>1082700</v>
      </c>
      <c r="W20" s="18">
        <f>IF($B$9="HEPSİ",SUMIFS('HAM VERİ'!$E:$E,'HAM VERİ'!$A:$A,RAPOR1!$H20,'HAM VERİ'!$I:$I,RAPOR1!W$13),SUMIFS('HAM VERİ'!$E:$E,'HAM VERİ'!$A:$A,RAPOR1!$H20,'HAM VERİ'!$I:$I,RAPOR1!W$13,'HAM VERİ'!$D:$D,RAPOR1!$B$9))</f>
        <v>231</v>
      </c>
      <c r="X20" s="18">
        <f>IF($B$9="HEPSİ",SUMIFS('HAM VERİ'!$G:$G,'HAM VERİ'!$A:$A,RAPOR1!$H20,'HAM VERİ'!$I:$I,RAPOR1!W$13),SUMIFS('HAM VERİ'!$G:$G,'HAM VERİ'!$A:$A,RAPOR1!$H20,'HAM VERİ'!$I:$I,RAPOR1!W$13,'HAM VERİ'!$D:$D,RAPOR1!$B$9))</f>
        <v>1372900</v>
      </c>
      <c r="Y20" s="18">
        <f>IF($B$9="HEPSİ",SUMIFS('HAM VERİ'!$E:$E,'HAM VERİ'!$A:$A,RAPOR1!$H20,'HAM VERİ'!$I:$I,RAPOR1!Y$13),SUMIFS('HAM VERİ'!$E:$E,'HAM VERİ'!$A:$A,RAPOR1!$H20,'HAM VERİ'!$I:$I,RAPOR1!Y$13,'HAM VERİ'!$D:$D,RAPOR1!$B$9))</f>
        <v>124</v>
      </c>
      <c r="Z20" s="18">
        <f>IF($B$9="HEPSİ",SUMIFS('HAM VERİ'!$G:$G,'HAM VERİ'!$A:$A,RAPOR1!$H20,'HAM VERİ'!$I:$I,RAPOR1!Y$13),SUMIFS('HAM VERİ'!$G:$G,'HAM VERİ'!$A:$A,RAPOR1!$H20,'HAM VERİ'!$I:$I,RAPOR1!Y$13,'HAM VERİ'!$D:$D,RAPOR1!$B$9))</f>
        <v>340100</v>
      </c>
      <c r="AA20" s="18">
        <f>IF($B$9="HEPSİ",SUMIFS('HAM VERİ'!$E:$E,'HAM VERİ'!$A:$A,RAPOR1!$H20,'HAM VERİ'!$I:$I,RAPOR1!AA$13),SUMIFS('HAM VERİ'!$E:$E,'HAM VERİ'!$A:$A,RAPOR1!$H20,'HAM VERİ'!$I:$I,RAPOR1!AA$13,'HAM VERİ'!$D:$D,RAPOR1!$B$9))</f>
        <v>76</v>
      </c>
      <c r="AB20" s="18">
        <f>IF($B$9="HEPSİ",SUMIFS('HAM VERİ'!$G:$G,'HAM VERİ'!$A:$A,RAPOR1!$H20,'HAM VERİ'!$I:$I,RAPOR1!AA$13),SUMIFS('HAM VERİ'!$G:$G,'HAM VERİ'!$A:$A,RAPOR1!$H20,'HAM VERİ'!$I:$I,RAPOR1!AA$13,'HAM VERİ'!$D:$D,RAPOR1!$B$9))</f>
        <v>156750</v>
      </c>
      <c r="AC20" s="18">
        <f>IF($B$9="HEPSİ",SUMIFS('HAM VERİ'!$E:$E,'HAM VERİ'!$A:$A,RAPOR1!$H20,'HAM VERİ'!$I:$I,RAPOR1!AC$13),SUMIFS('HAM VERİ'!$E:$E,'HAM VERİ'!$A:$A,RAPOR1!$H20,'HAM VERİ'!$I:$I,RAPOR1!AC$13,'HAM VERİ'!$D:$D,RAPOR1!$B$9))</f>
        <v>163</v>
      </c>
      <c r="AD20" s="18">
        <f>IF($B$9="HEPSİ",SUMIFS('HAM VERİ'!$G:$G,'HAM VERİ'!$A:$A,RAPOR1!$H20,'HAM VERİ'!$I:$I,RAPOR1!AC$13),SUMIFS('HAM VERİ'!$G:$G,'HAM VERİ'!$A:$A,RAPOR1!$H20,'HAM VERİ'!$I:$I,RAPOR1!AC$13,'HAM VERİ'!$D:$D,RAPOR1!$B$9))</f>
        <v>612600</v>
      </c>
      <c r="AE20" s="18">
        <f>IF($B$9="HEPSİ",SUMIFS('HAM VERİ'!$E:$E,'HAM VERİ'!$A:$A,RAPOR1!$H20,'HAM VERİ'!$I:$I,RAPOR1!AE$13),SUMIFS('HAM VERİ'!$E:$E,'HAM VERİ'!$A:$A,RAPOR1!$H20,'HAM VERİ'!$I:$I,RAPOR1!AE$13,'HAM VERİ'!$D:$D,RAPOR1!$B$9))</f>
        <v>204</v>
      </c>
      <c r="AF20" s="18">
        <f>IF($B$9="HEPSİ",SUMIFS('HAM VERİ'!$G:$G,'HAM VERİ'!$A:$A,RAPOR1!$H20,'HAM VERİ'!$I:$I,RAPOR1!AE$13),SUMIFS('HAM VERİ'!$G:$G,'HAM VERİ'!$A:$A,RAPOR1!$H20,'HAM VERİ'!$I:$I,RAPOR1!AE$13,'HAM VERİ'!$D:$D,RAPOR1!$B$9))</f>
        <v>1231150</v>
      </c>
      <c r="AG20" s="7"/>
      <c r="AH20" s="7"/>
      <c r="AI20" s="7"/>
      <c r="AJ20" s="7"/>
      <c r="AK20" s="7"/>
      <c r="AL20" s="7"/>
    </row>
    <row r="21" spans="1:38" x14ac:dyDescent="0.25">
      <c r="A21" s="7"/>
      <c r="B21" s="7"/>
      <c r="C21" s="7"/>
      <c r="D21" s="7"/>
      <c r="E21" s="7"/>
      <c r="F21" s="7"/>
      <c r="G21" s="7"/>
      <c r="H21" s="10" t="s">
        <v>20</v>
      </c>
      <c r="I21" s="13">
        <f>IF($B$9="HEPSİ",SUMIFS('HAM VERİ'!$E:$E,'HAM VERİ'!$A:$A,RAPOR1!$H21,'HAM VERİ'!$I:$I,RAPOR1!I$13),SUMIFS('HAM VERİ'!$E:$E,'HAM VERİ'!$A:$A,RAPOR1!$H21,'HAM VERİ'!$I:$I,RAPOR1!I$13,'HAM VERİ'!$D:$D,RAPOR1!$B$9))</f>
        <v>91</v>
      </c>
      <c r="J21" s="13">
        <f>IF($B$9="HEPSİ",SUMIFS('HAM VERİ'!$G:$G,'HAM VERİ'!$A:$A,RAPOR1!$H21,'HAM VERİ'!$I:$I,RAPOR1!I$13),SUMIFS('HAM VERİ'!$G:$G,'HAM VERİ'!$A:$A,RAPOR1!$H21,'HAM VERİ'!$I:$I,RAPOR1!I$13,'HAM VERİ'!$D:$D,RAPOR1!$B$9))</f>
        <v>244400</v>
      </c>
      <c r="K21" s="13">
        <f>IF($B$9="HEPSİ",SUMIFS('HAM VERİ'!$E:$E,'HAM VERİ'!$A:$A,RAPOR1!$H21,'HAM VERİ'!$I:$I,RAPOR1!K$13),SUMIFS('HAM VERİ'!$E:$E,'HAM VERİ'!$A:$A,RAPOR1!$H21,'HAM VERİ'!$I:$I,RAPOR1!K$13,'HAM VERİ'!$D:$D,RAPOR1!$B$9))</f>
        <v>40</v>
      </c>
      <c r="L21" s="13">
        <f>IF($B$9="HEPSİ",SUMIFS('HAM VERİ'!$G:$G,'HAM VERİ'!$A:$A,RAPOR1!$H21,'HAM VERİ'!$I:$I,RAPOR1!K$13),SUMIFS('HAM VERİ'!$G:$G,'HAM VERİ'!$A:$A,RAPOR1!$H21,'HAM VERİ'!$I:$I,RAPOR1!K$13,'HAM VERİ'!$D:$D,RAPOR1!$B$9))</f>
        <v>130350</v>
      </c>
      <c r="M21" s="13">
        <f>IF($B$9="HEPSİ",SUMIFS('HAM VERİ'!$E:$E,'HAM VERİ'!$A:$A,RAPOR1!$H21,'HAM VERİ'!$I:$I,RAPOR1!M$13),SUMIFS('HAM VERİ'!$E:$E,'HAM VERİ'!$A:$A,RAPOR1!$H21,'HAM VERİ'!$I:$I,RAPOR1!M$13,'HAM VERİ'!$D:$D,RAPOR1!$B$9))</f>
        <v>32</v>
      </c>
      <c r="N21" s="13">
        <f>IF($B$9="HEPSİ",SUMIFS('HAM VERİ'!$G:$G,'HAM VERİ'!$A:$A,RAPOR1!$H21,'HAM VERİ'!$I:$I,RAPOR1!M$13),SUMIFS('HAM VERİ'!$G:$G,'HAM VERİ'!$A:$A,RAPOR1!$H21,'HAM VERİ'!$I:$I,RAPOR1!M$13,'HAM VERİ'!$D:$D,RAPOR1!$B$9))</f>
        <v>156450</v>
      </c>
      <c r="O21" s="13">
        <f>IF($B$9="HEPSİ",SUMIFS('HAM VERİ'!$E:$E,'HAM VERİ'!$A:$A,RAPOR1!$H21,'HAM VERİ'!$I:$I,RAPOR1!O$13),SUMIFS('HAM VERİ'!$E:$E,'HAM VERİ'!$A:$A,RAPOR1!$H21,'HAM VERİ'!$I:$I,RAPOR1!O$13,'HAM VERİ'!$D:$D,RAPOR1!$B$9))</f>
        <v>63</v>
      </c>
      <c r="P21" s="13">
        <f>IF($B$9="HEPSİ",SUMIFS('HAM VERİ'!$G:$G,'HAM VERİ'!$A:$A,RAPOR1!$H21,'HAM VERİ'!$I:$I,RAPOR1!O$13),SUMIFS('HAM VERİ'!$G:$G,'HAM VERİ'!$A:$A,RAPOR1!$H21,'HAM VERİ'!$I:$I,RAPOR1!O$13,'HAM VERİ'!$D:$D,RAPOR1!$B$9))</f>
        <v>108500</v>
      </c>
      <c r="Q21" s="13">
        <f>IF($B$9="HEPSİ",SUMIFS('HAM VERİ'!$E:$E,'HAM VERİ'!$A:$A,RAPOR1!$H21,'HAM VERİ'!$I:$I,RAPOR1!Q$13),SUMIFS('HAM VERİ'!$E:$E,'HAM VERİ'!$A:$A,RAPOR1!$H21,'HAM VERİ'!$I:$I,RAPOR1!Q$13,'HAM VERİ'!$D:$D,RAPOR1!$B$9))</f>
        <v>31</v>
      </c>
      <c r="R21" s="13">
        <f>IF($B$9="HEPSİ",SUMIFS('HAM VERİ'!$G:$G,'HAM VERİ'!$A:$A,RAPOR1!$H21,'HAM VERİ'!$I:$I,RAPOR1!Q$13),SUMIFS('HAM VERİ'!$G:$G,'HAM VERİ'!$A:$A,RAPOR1!$H21,'HAM VERİ'!$I:$I,RAPOR1!Q$13,'HAM VERİ'!$D:$D,RAPOR1!$B$9))</f>
        <v>78150</v>
      </c>
      <c r="S21" s="13">
        <f>IF($B$9="HEPSİ",SUMIFS('HAM VERİ'!$E:$E,'HAM VERİ'!$A:$A,RAPOR1!$H21,'HAM VERİ'!$I:$I,RAPOR1!S$13),SUMIFS('HAM VERİ'!$E:$E,'HAM VERİ'!$A:$A,RAPOR1!$H21,'HAM VERİ'!$I:$I,RAPOR1!S$13,'HAM VERİ'!$D:$D,RAPOR1!$B$9))</f>
        <v>22</v>
      </c>
      <c r="T21" s="13">
        <f>IF($B$9="HEPSİ",SUMIFS('HAM VERİ'!$G:$G,'HAM VERİ'!$A:$A,RAPOR1!$H21,'HAM VERİ'!$I:$I,RAPOR1!S$13),SUMIFS('HAM VERİ'!$G:$G,'HAM VERİ'!$A:$A,RAPOR1!$H21,'HAM VERİ'!$I:$I,RAPOR1!S$13,'HAM VERİ'!$D:$D,RAPOR1!$B$9))</f>
        <v>36400</v>
      </c>
      <c r="U21" s="13">
        <f>IF($B$9="HEPSİ",SUMIFS('HAM VERİ'!$E:$E,'HAM VERİ'!$A:$A,RAPOR1!$H21,'HAM VERİ'!$I:$I,RAPOR1!U$13),SUMIFS('HAM VERİ'!$E:$E,'HAM VERİ'!$A:$A,RAPOR1!$H21,'HAM VERİ'!$I:$I,RAPOR1!U$13,'HAM VERİ'!$D:$D,RAPOR1!$B$9))</f>
        <v>75</v>
      </c>
      <c r="V21" s="13">
        <f>IF($B$9="HEPSİ",SUMIFS('HAM VERİ'!$G:$G,'HAM VERİ'!$A:$A,RAPOR1!$H21,'HAM VERİ'!$I:$I,RAPOR1!U$13),SUMIFS('HAM VERİ'!$G:$G,'HAM VERİ'!$A:$A,RAPOR1!$H21,'HAM VERİ'!$I:$I,RAPOR1!U$13,'HAM VERİ'!$D:$D,RAPOR1!$B$9))</f>
        <v>558650</v>
      </c>
      <c r="W21" s="13">
        <f>IF($B$9="HEPSİ",SUMIFS('HAM VERİ'!$E:$E,'HAM VERİ'!$A:$A,RAPOR1!$H21,'HAM VERİ'!$I:$I,RAPOR1!W$13),SUMIFS('HAM VERİ'!$E:$E,'HAM VERİ'!$A:$A,RAPOR1!$H21,'HAM VERİ'!$I:$I,RAPOR1!W$13,'HAM VERİ'!$D:$D,RAPOR1!$B$9))</f>
        <v>24</v>
      </c>
      <c r="X21" s="13">
        <f>IF($B$9="HEPSİ",SUMIFS('HAM VERİ'!$G:$G,'HAM VERİ'!$A:$A,RAPOR1!$H21,'HAM VERİ'!$I:$I,RAPOR1!W$13),SUMIFS('HAM VERİ'!$G:$G,'HAM VERİ'!$A:$A,RAPOR1!$H21,'HAM VERİ'!$I:$I,RAPOR1!W$13,'HAM VERİ'!$D:$D,RAPOR1!$B$9))</f>
        <v>82400</v>
      </c>
      <c r="Y21" s="13">
        <f>IF($B$9="HEPSİ",SUMIFS('HAM VERİ'!$E:$E,'HAM VERİ'!$A:$A,RAPOR1!$H21,'HAM VERİ'!$I:$I,RAPOR1!Y$13),SUMIFS('HAM VERİ'!$E:$E,'HAM VERİ'!$A:$A,RAPOR1!$H21,'HAM VERİ'!$I:$I,RAPOR1!Y$13,'HAM VERİ'!$D:$D,RAPOR1!$B$9))</f>
        <v>61</v>
      </c>
      <c r="Z21" s="13">
        <f>IF($B$9="HEPSİ",SUMIFS('HAM VERİ'!$G:$G,'HAM VERİ'!$A:$A,RAPOR1!$H21,'HAM VERİ'!$I:$I,RAPOR1!Y$13),SUMIFS('HAM VERİ'!$G:$G,'HAM VERİ'!$A:$A,RAPOR1!$H21,'HAM VERİ'!$I:$I,RAPOR1!Y$13,'HAM VERİ'!$D:$D,RAPOR1!$B$9))</f>
        <v>209150</v>
      </c>
      <c r="AA21" s="13">
        <f>IF($B$9="HEPSİ",SUMIFS('HAM VERİ'!$E:$E,'HAM VERİ'!$A:$A,RAPOR1!$H21,'HAM VERİ'!$I:$I,RAPOR1!AA$13),SUMIFS('HAM VERİ'!$E:$E,'HAM VERİ'!$A:$A,RAPOR1!$H21,'HAM VERİ'!$I:$I,RAPOR1!AA$13,'HAM VERİ'!$D:$D,RAPOR1!$B$9))</f>
        <v>41</v>
      </c>
      <c r="AB21" s="13">
        <f>IF($B$9="HEPSİ",SUMIFS('HAM VERİ'!$G:$G,'HAM VERİ'!$A:$A,RAPOR1!$H21,'HAM VERİ'!$I:$I,RAPOR1!AA$13),SUMIFS('HAM VERİ'!$G:$G,'HAM VERİ'!$A:$A,RAPOR1!$H21,'HAM VERİ'!$I:$I,RAPOR1!AA$13,'HAM VERİ'!$D:$D,RAPOR1!$B$9))</f>
        <v>80550</v>
      </c>
      <c r="AC21" s="13">
        <f>IF($B$9="HEPSİ",SUMIFS('HAM VERİ'!$E:$E,'HAM VERİ'!$A:$A,RAPOR1!$H21,'HAM VERİ'!$I:$I,RAPOR1!AC$13),SUMIFS('HAM VERİ'!$E:$E,'HAM VERİ'!$A:$A,RAPOR1!$H21,'HAM VERİ'!$I:$I,RAPOR1!AC$13,'HAM VERİ'!$D:$D,RAPOR1!$B$9))</f>
        <v>121</v>
      </c>
      <c r="AD21" s="13">
        <f>IF($B$9="HEPSİ",SUMIFS('HAM VERİ'!$G:$G,'HAM VERİ'!$A:$A,RAPOR1!$H21,'HAM VERİ'!$I:$I,RAPOR1!AC$13),SUMIFS('HAM VERİ'!$G:$G,'HAM VERİ'!$A:$A,RAPOR1!$H21,'HAM VERİ'!$I:$I,RAPOR1!AC$13,'HAM VERİ'!$D:$D,RAPOR1!$B$9))</f>
        <v>187550</v>
      </c>
      <c r="AE21" s="13">
        <f>IF($B$9="HEPSİ",SUMIFS('HAM VERİ'!$E:$E,'HAM VERİ'!$A:$A,RAPOR1!$H21,'HAM VERİ'!$I:$I,RAPOR1!AE$13),SUMIFS('HAM VERİ'!$E:$E,'HAM VERİ'!$A:$A,RAPOR1!$H21,'HAM VERİ'!$I:$I,RAPOR1!AE$13,'HAM VERİ'!$D:$D,RAPOR1!$B$9))</f>
        <v>52</v>
      </c>
      <c r="AF21" s="13">
        <f>IF($B$9="HEPSİ",SUMIFS('HAM VERİ'!$G:$G,'HAM VERİ'!$A:$A,RAPOR1!$H21,'HAM VERİ'!$I:$I,RAPOR1!AE$13),SUMIFS('HAM VERİ'!$G:$G,'HAM VERİ'!$A:$A,RAPOR1!$H21,'HAM VERİ'!$I:$I,RAPOR1!AE$13,'HAM VERİ'!$D:$D,RAPOR1!$B$9))</f>
        <v>341400</v>
      </c>
      <c r="AG21" s="7"/>
      <c r="AH21" s="7"/>
      <c r="AI21" s="7"/>
      <c r="AJ21" s="7"/>
      <c r="AK21" s="7"/>
      <c r="AL21" s="7"/>
    </row>
    <row r="22" spans="1:38" x14ac:dyDescent="0.25">
      <c r="A22" s="7"/>
      <c r="B22" s="7"/>
      <c r="C22" s="7"/>
      <c r="D22" s="7"/>
      <c r="E22" s="7"/>
      <c r="F22" s="7"/>
      <c r="G22" s="7"/>
      <c r="H22" s="10" t="s">
        <v>21</v>
      </c>
      <c r="I22" s="18">
        <f>IF($B$9="HEPSİ",SUMIFS('HAM VERİ'!$E:$E,'HAM VERİ'!$A:$A,RAPOR1!$H22,'HAM VERİ'!$I:$I,RAPOR1!I$13),SUMIFS('HAM VERİ'!$E:$E,'HAM VERİ'!$A:$A,RAPOR1!$H22,'HAM VERİ'!$I:$I,RAPOR1!I$13,'HAM VERİ'!$D:$D,RAPOR1!$B$9))</f>
        <v>276</v>
      </c>
      <c r="J22" s="18">
        <f>IF($B$9="HEPSİ",SUMIFS('HAM VERİ'!$G:$G,'HAM VERİ'!$A:$A,RAPOR1!$H22,'HAM VERİ'!$I:$I,RAPOR1!I$13),SUMIFS('HAM VERİ'!$G:$G,'HAM VERİ'!$A:$A,RAPOR1!$H22,'HAM VERİ'!$I:$I,RAPOR1!I$13,'HAM VERİ'!$D:$D,RAPOR1!$B$9))</f>
        <v>805750</v>
      </c>
      <c r="K22" s="18">
        <f>IF($B$9="HEPSİ",SUMIFS('HAM VERİ'!$E:$E,'HAM VERİ'!$A:$A,RAPOR1!$H22,'HAM VERİ'!$I:$I,RAPOR1!K$13),SUMIFS('HAM VERİ'!$E:$E,'HAM VERİ'!$A:$A,RAPOR1!$H22,'HAM VERİ'!$I:$I,RAPOR1!K$13,'HAM VERİ'!$D:$D,RAPOR1!$B$9))</f>
        <v>298</v>
      </c>
      <c r="L22" s="18">
        <f>IF($B$9="HEPSİ",SUMIFS('HAM VERİ'!$G:$G,'HAM VERİ'!$A:$A,RAPOR1!$H22,'HAM VERİ'!$I:$I,RAPOR1!K$13),SUMIFS('HAM VERİ'!$G:$G,'HAM VERİ'!$A:$A,RAPOR1!$H22,'HAM VERİ'!$I:$I,RAPOR1!K$13,'HAM VERİ'!$D:$D,RAPOR1!$B$9))</f>
        <v>684350</v>
      </c>
      <c r="M22" s="18">
        <f>IF($B$9="HEPSİ",SUMIFS('HAM VERİ'!$E:$E,'HAM VERİ'!$A:$A,RAPOR1!$H22,'HAM VERİ'!$I:$I,RAPOR1!M$13),SUMIFS('HAM VERİ'!$E:$E,'HAM VERİ'!$A:$A,RAPOR1!$H22,'HAM VERİ'!$I:$I,RAPOR1!M$13,'HAM VERİ'!$D:$D,RAPOR1!$B$9))</f>
        <v>227</v>
      </c>
      <c r="N22" s="18">
        <f>IF($B$9="HEPSİ",SUMIFS('HAM VERİ'!$G:$G,'HAM VERİ'!$A:$A,RAPOR1!$H22,'HAM VERİ'!$I:$I,RAPOR1!M$13),SUMIFS('HAM VERİ'!$G:$G,'HAM VERİ'!$A:$A,RAPOR1!$H22,'HAM VERİ'!$I:$I,RAPOR1!M$13,'HAM VERİ'!$D:$D,RAPOR1!$B$9))</f>
        <v>545700</v>
      </c>
      <c r="O22" s="18">
        <f>IF($B$9="HEPSİ",SUMIFS('HAM VERİ'!$E:$E,'HAM VERİ'!$A:$A,RAPOR1!$H22,'HAM VERİ'!$I:$I,RAPOR1!O$13),SUMIFS('HAM VERİ'!$E:$E,'HAM VERİ'!$A:$A,RAPOR1!$H22,'HAM VERİ'!$I:$I,RAPOR1!O$13,'HAM VERİ'!$D:$D,RAPOR1!$B$9))</f>
        <v>140</v>
      </c>
      <c r="P22" s="18">
        <f>IF($B$9="HEPSİ",SUMIFS('HAM VERİ'!$G:$G,'HAM VERİ'!$A:$A,RAPOR1!$H22,'HAM VERİ'!$I:$I,RAPOR1!O$13),SUMIFS('HAM VERİ'!$G:$G,'HAM VERİ'!$A:$A,RAPOR1!$H22,'HAM VERİ'!$I:$I,RAPOR1!O$13,'HAM VERİ'!$D:$D,RAPOR1!$B$9))</f>
        <v>332000</v>
      </c>
      <c r="Q22" s="18">
        <f>IF($B$9="HEPSİ",SUMIFS('HAM VERİ'!$E:$E,'HAM VERİ'!$A:$A,RAPOR1!$H22,'HAM VERİ'!$I:$I,RAPOR1!Q$13),SUMIFS('HAM VERİ'!$E:$E,'HAM VERİ'!$A:$A,RAPOR1!$H22,'HAM VERİ'!$I:$I,RAPOR1!Q$13,'HAM VERİ'!$D:$D,RAPOR1!$B$9))</f>
        <v>173</v>
      </c>
      <c r="R22" s="18">
        <f>IF($B$9="HEPSİ",SUMIFS('HAM VERİ'!$G:$G,'HAM VERİ'!$A:$A,RAPOR1!$H22,'HAM VERİ'!$I:$I,RAPOR1!Q$13),SUMIFS('HAM VERİ'!$G:$G,'HAM VERİ'!$A:$A,RAPOR1!$H22,'HAM VERİ'!$I:$I,RAPOR1!Q$13,'HAM VERİ'!$D:$D,RAPOR1!$B$9))</f>
        <v>720800</v>
      </c>
      <c r="S22" s="18">
        <f>IF($B$9="HEPSİ",SUMIFS('HAM VERİ'!$E:$E,'HAM VERİ'!$A:$A,RAPOR1!$H22,'HAM VERİ'!$I:$I,RAPOR1!S$13),SUMIFS('HAM VERİ'!$E:$E,'HAM VERİ'!$A:$A,RAPOR1!$H22,'HAM VERİ'!$I:$I,RAPOR1!S$13,'HAM VERİ'!$D:$D,RAPOR1!$B$9))</f>
        <v>205</v>
      </c>
      <c r="T22" s="18">
        <f>IF($B$9="HEPSİ",SUMIFS('HAM VERİ'!$G:$G,'HAM VERİ'!$A:$A,RAPOR1!$H22,'HAM VERİ'!$I:$I,RAPOR1!S$13),SUMIFS('HAM VERİ'!$G:$G,'HAM VERİ'!$A:$A,RAPOR1!$H22,'HAM VERİ'!$I:$I,RAPOR1!S$13,'HAM VERİ'!$D:$D,RAPOR1!$B$9))</f>
        <v>915650</v>
      </c>
      <c r="U22" s="18">
        <f>IF($B$9="HEPSİ",SUMIFS('HAM VERİ'!$E:$E,'HAM VERİ'!$A:$A,RAPOR1!$H22,'HAM VERİ'!$I:$I,RAPOR1!U$13),SUMIFS('HAM VERİ'!$E:$E,'HAM VERİ'!$A:$A,RAPOR1!$H22,'HAM VERİ'!$I:$I,RAPOR1!U$13,'HAM VERİ'!$D:$D,RAPOR1!$B$9))</f>
        <v>157</v>
      </c>
      <c r="V22" s="18">
        <f>IF($B$9="HEPSİ",SUMIFS('HAM VERİ'!$G:$G,'HAM VERİ'!$A:$A,RAPOR1!$H22,'HAM VERİ'!$I:$I,RAPOR1!U$13),SUMIFS('HAM VERİ'!$G:$G,'HAM VERİ'!$A:$A,RAPOR1!$H22,'HAM VERİ'!$I:$I,RAPOR1!U$13,'HAM VERİ'!$D:$D,RAPOR1!$B$9))</f>
        <v>435450</v>
      </c>
      <c r="W22" s="18">
        <f>IF($B$9="HEPSİ",SUMIFS('HAM VERİ'!$E:$E,'HAM VERİ'!$A:$A,RAPOR1!$H22,'HAM VERİ'!$I:$I,RAPOR1!W$13),SUMIFS('HAM VERİ'!$E:$E,'HAM VERİ'!$A:$A,RAPOR1!$H22,'HAM VERİ'!$I:$I,RAPOR1!W$13,'HAM VERİ'!$D:$D,RAPOR1!$B$9))</f>
        <v>209</v>
      </c>
      <c r="X22" s="18">
        <f>IF($B$9="HEPSİ",SUMIFS('HAM VERİ'!$G:$G,'HAM VERİ'!$A:$A,RAPOR1!$H22,'HAM VERİ'!$I:$I,RAPOR1!W$13),SUMIFS('HAM VERİ'!$G:$G,'HAM VERİ'!$A:$A,RAPOR1!$H22,'HAM VERİ'!$I:$I,RAPOR1!W$13,'HAM VERİ'!$D:$D,RAPOR1!$B$9))</f>
        <v>894350</v>
      </c>
      <c r="Y22" s="18">
        <f>IF($B$9="HEPSİ",SUMIFS('HAM VERİ'!$E:$E,'HAM VERİ'!$A:$A,RAPOR1!$H22,'HAM VERİ'!$I:$I,RAPOR1!Y$13),SUMIFS('HAM VERİ'!$E:$E,'HAM VERİ'!$A:$A,RAPOR1!$H22,'HAM VERİ'!$I:$I,RAPOR1!Y$13,'HAM VERİ'!$D:$D,RAPOR1!$B$9))</f>
        <v>277</v>
      </c>
      <c r="Z22" s="18">
        <f>IF($B$9="HEPSİ",SUMIFS('HAM VERİ'!$G:$G,'HAM VERİ'!$A:$A,RAPOR1!$H22,'HAM VERİ'!$I:$I,RAPOR1!Y$13),SUMIFS('HAM VERİ'!$G:$G,'HAM VERİ'!$A:$A,RAPOR1!$H22,'HAM VERİ'!$I:$I,RAPOR1!Y$13,'HAM VERİ'!$D:$D,RAPOR1!$B$9))</f>
        <v>794700</v>
      </c>
      <c r="AA22" s="18">
        <f>IF($B$9="HEPSİ",SUMIFS('HAM VERİ'!$E:$E,'HAM VERİ'!$A:$A,RAPOR1!$H22,'HAM VERİ'!$I:$I,RAPOR1!AA$13),SUMIFS('HAM VERİ'!$E:$E,'HAM VERİ'!$A:$A,RAPOR1!$H22,'HAM VERİ'!$I:$I,RAPOR1!AA$13,'HAM VERİ'!$D:$D,RAPOR1!$B$9))</f>
        <v>293</v>
      </c>
      <c r="AB22" s="18">
        <f>IF($B$9="HEPSİ",SUMIFS('HAM VERİ'!$G:$G,'HAM VERİ'!$A:$A,RAPOR1!$H22,'HAM VERİ'!$I:$I,RAPOR1!AA$13),SUMIFS('HAM VERİ'!$G:$G,'HAM VERİ'!$A:$A,RAPOR1!$H22,'HAM VERİ'!$I:$I,RAPOR1!AA$13,'HAM VERİ'!$D:$D,RAPOR1!$B$9))</f>
        <v>1833000</v>
      </c>
      <c r="AC22" s="18">
        <f>IF($B$9="HEPSİ",SUMIFS('HAM VERİ'!$E:$E,'HAM VERİ'!$A:$A,RAPOR1!$H22,'HAM VERİ'!$I:$I,RAPOR1!AC$13),SUMIFS('HAM VERİ'!$E:$E,'HAM VERİ'!$A:$A,RAPOR1!$H22,'HAM VERİ'!$I:$I,RAPOR1!AC$13,'HAM VERİ'!$D:$D,RAPOR1!$B$9))</f>
        <v>187</v>
      </c>
      <c r="AD22" s="18">
        <f>IF($B$9="HEPSİ",SUMIFS('HAM VERİ'!$G:$G,'HAM VERİ'!$A:$A,RAPOR1!$H22,'HAM VERİ'!$I:$I,RAPOR1!AC$13),SUMIFS('HAM VERİ'!$G:$G,'HAM VERİ'!$A:$A,RAPOR1!$H22,'HAM VERİ'!$I:$I,RAPOR1!AC$13,'HAM VERİ'!$D:$D,RAPOR1!$B$9))</f>
        <v>650550</v>
      </c>
      <c r="AE22" s="18">
        <f>IF($B$9="HEPSİ",SUMIFS('HAM VERİ'!$E:$E,'HAM VERİ'!$A:$A,RAPOR1!$H22,'HAM VERİ'!$I:$I,RAPOR1!AE$13),SUMIFS('HAM VERİ'!$E:$E,'HAM VERİ'!$A:$A,RAPOR1!$H22,'HAM VERİ'!$I:$I,RAPOR1!AE$13,'HAM VERİ'!$D:$D,RAPOR1!$B$9))</f>
        <v>443</v>
      </c>
      <c r="AF22" s="18">
        <f>IF($B$9="HEPSİ",SUMIFS('HAM VERİ'!$G:$G,'HAM VERİ'!$A:$A,RAPOR1!$H22,'HAM VERİ'!$I:$I,RAPOR1!AE$13),SUMIFS('HAM VERİ'!$G:$G,'HAM VERİ'!$A:$A,RAPOR1!$H22,'HAM VERİ'!$I:$I,RAPOR1!AE$13,'HAM VERİ'!$D:$D,RAPOR1!$B$9))</f>
        <v>1261450</v>
      </c>
      <c r="AG22" s="7"/>
      <c r="AH22" s="7"/>
      <c r="AI22" s="7"/>
      <c r="AJ22" s="7"/>
      <c r="AK22" s="7"/>
      <c r="AL22" s="7"/>
    </row>
    <row r="23" spans="1:38" x14ac:dyDescent="0.25">
      <c r="A23" s="7"/>
      <c r="B23" s="7"/>
      <c r="C23" s="7"/>
      <c r="D23" s="7"/>
      <c r="E23" s="7"/>
      <c r="F23" s="7"/>
      <c r="G23" s="7"/>
      <c r="H23" s="10" t="s">
        <v>22</v>
      </c>
      <c r="I23" s="13">
        <f>IF($B$9="HEPSİ",SUMIFS('HAM VERİ'!$E:$E,'HAM VERİ'!$A:$A,RAPOR1!$H23,'HAM VERİ'!$I:$I,RAPOR1!I$13),SUMIFS('HAM VERİ'!$E:$E,'HAM VERİ'!$A:$A,RAPOR1!$H23,'HAM VERİ'!$I:$I,RAPOR1!I$13,'HAM VERİ'!$D:$D,RAPOR1!$B$9))</f>
        <v>52</v>
      </c>
      <c r="J23" s="13">
        <f>IF($B$9="HEPSİ",SUMIFS('HAM VERİ'!$G:$G,'HAM VERİ'!$A:$A,RAPOR1!$H23,'HAM VERİ'!$I:$I,RAPOR1!I$13),SUMIFS('HAM VERİ'!$G:$G,'HAM VERİ'!$A:$A,RAPOR1!$H23,'HAM VERİ'!$I:$I,RAPOR1!I$13,'HAM VERİ'!$D:$D,RAPOR1!$B$9))</f>
        <v>385050</v>
      </c>
      <c r="K23" s="13">
        <f>IF($B$9="HEPSİ",SUMIFS('HAM VERİ'!$E:$E,'HAM VERİ'!$A:$A,RAPOR1!$H23,'HAM VERİ'!$I:$I,RAPOR1!K$13),SUMIFS('HAM VERİ'!$E:$E,'HAM VERİ'!$A:$A,RAPOR1!$H23,'HAM VERİ'!$I:$I,RAPOR1!K$13,'HAM VERİ'!$D:$D,RAPOR1!$B$9))</f>
        <v>79</v>
      </c>
      <c r="L23" s="13">
        <f>IF($B$9="HEPSİ",SUMIFS('HAM VERİ'!$G:$G,'HAM VERİ'!$A:$A,RAPOR1!$H23,'HAM VERİ'!$I:$I,RAPOR1!K$13),SUMIFS('HAM VERİ'!$G:$G,'HAM VERİ'!$A:$A,RAPOR1!$H23,'HAM VERİ'!$I:$I,RAPOR1!K$13,'HAM VERİ'!$D:$D,RAPOR1!$B$9))</f>
        <v>372100</v>
      </c>
      <c r="M23" s="13">
        <f>IF($B$9="HEPSİ",SUMIFS('HAM VERİ'!$E:$E,'HAM VERİ'!$A:$A,RAPOR1!$H23,'HAM VERİ'!$I:$I,RAPOR1!M$13),SUMIFS('HAM VERİ'!$E:$E,'HAM VERİ'!$A:$A,RAPOR1!$H23,'HAM VERİ'!$I:$I,RAPOR1!M$13,'HAM VERİ'!$D:$D,RAPOR1!$B$9))</f>
        <v>99</v>
      </c>
      <c r="N23" s="13">
        <f>IF($B$9="HEPSİ",SUMIFS('HAM VERİ'!$G:$G,'HAM VERİ'!$A:$A,RAPOR1!$H23,'HAM VERİ'!$I:$I,RAPOR1!M$13),SUMIFS('HAM VERİ'!$G:$G,'HAM VERİ'!$A:$A,RAPOR1!$H23,'HAM VERİ'!$I:$I,RAPOR1!M$13,'HAM VERİ'!$D:$D,RAPOR1!$B$9))</f>
        <v>278400</v>
      </c>
      <c r="O23" s="13">
        <f>IF($B$9="HEPSİ",SUMIFS('HAM VERİ'!$E:$E,'HAM VERİ'!$A:$A,RAPOR1!$H23,'HAM VERİ'!$I:$I,RAPOR1!O$13),SUMIFS('HAM VERİ'!$E:$E,'HAM VERİ'!$A:$A,RAPOR1!$H23,'HAM VERİ'!$I:$I,RAPOR1!O$13,'HAM VERİ'!$D:$D,RAPOR1!$B$9))</f>
        <v>65</v>
      </c>
      <c r="P23" s="13">
        <f>IF($B$9="HEPSİ",SUMIFS('HAM VERİ'!$G:$G,'HAM VERİ'!$A:$A,RAPOR1!$H23,'HAM VERİ'!$I:$I,RAPOR1!O$13),SUMIFS('HAM VERİ'!$G:$G,'HAM VERİ'!$A:$A,RAPOR1!$H23,'HAM VERİ'!$I:$I,RAPOR1!O$13,'HAM VERİ'!$D:$D,RAPOR1!$B$9))</f>
        <v>177900</v>
      </c>
      <c r="Q23" s="13">
        <f>IF($B$9="HEPSİ",SUMIFS('HAM VERİ'!$E:$E,'HAM VERİ'!$A:$A,RAPOR1!$H23,'HAM VERİ'!$I:$I,RAPOR1!Q$13),SUMIFS('HAM VERİ'!$E:$E,'HAM VERİ'!$A:$A,RAPOR1!$H23,'HAM VERİ'!$I:$I,RAPOR1!Q$13,'HAM VERİ'!$D:$D,RAPOR1!$B$9))</f>
        <v>125</v>
      </c>
      <c r="R23" s="13">
        <f>IF($B$9="HEPSİ",SUMIFS('HAM VERİ'!$G:$G,'HAM VERİ'!$A:$A,RAPOR1!$H23,'HAM VERİ'!$I:$I,RAPOR1!Q$13),SUMIFS('HAM VERİ'!$G:$G,'HAM VERİ'!$A:$A,RAPOR1!$H23,'HAM VERİ'!$I:$I,RAPOR1!Q$13,'HAM VERİ'!$D:$D,RAPOR1!$B$9))</f>
        <v>777450</v>
      </c>
      <c r="S23" s="13">
        <f>IF($B$9="HEPSİ",SUMIFS('HAM VERİ'!$E:$E,'HAM VERİ'!$A:$A,RAPOR1!$H23,'HAM VERİ'!$I:$I,RAPOR1!S$13),SUMIFS('HAM VERİ'!$E:$E,'HAM VERİ'!$A:$A,RAPOR1!$H23,'HAM VERİ'!$I:$I,RAPOR1!S$13,'HAM VERİ'!$D:$D,RAPOR1!$B$9))</f>
        <v>107</v>
      </c>
      <c r="T23" s="13">
        <f>IF($B$9="HEPSİ",SUMIFS('HAM VERİ'!$G:$G,'HAM VERİ'!$A:$A,RAPOR1!$H23,'HAM VERİ'!$I:$I,RAPOR1!S$13),SUMIFS('HAM VERİ'!$G:$G,'HAM VERİ'!$A:$A,RAPOR1!$H23,'HAM VERİ'!$I:$I,RAPOR1!S$13,'HAM VERİ'!$D:$D,RAPOR1!$B$9))</f>
        <v>459650</v>
      </c>
      <c r="U23" s="13">
        <f>IF($B$9="HEPSİ",SUMIFS('HAM VERİ'!$E:$E,'HAM VERİ'!$A:$A,RAPOR1!$H23,'HAM VERİ'!$I:$I,RAPOR1!U$13),SUMIFS('HAM VERİ'!$E:$E,'HAM VERİ'!$A:$A,RAPOR1!$H23,'HAM VERİ'!$I:$I,RAPOR1!U$13,'HAM VERİ'!$D:$D,RAPOR1!$B$9))</f>
        <v>45</v>
      </c>
      <c r="V23" s="13">
        <f>IF($B$9="HEPSİ",SUMIFS('HAM VERİ'!$G:$G,'HAM VERİ'!$A:$A,RAPOR1!$H23,'HAM VERİ'!$I:$I,RAPOR1!U$13),SUMIFS('HAM VERİ'!$G:$G,'HAM VERİ'!$A:$A,RAPOR1!$H23,'HAM VERİ'!$I:$I,RAPOR1!U$13,'HAM VERİ'!$D:$D,RAPOR1!$B$9))</f>
        <v>151100</v>
      </c>
      <c r="W23" s="13">
        <f>IF($B$9="HEPSİ",SUMIFS('HAM VERİ'!$E:$E,'HAM VERİ'!$A:$A,RAPOR1!$H23,'HAM VERİ'!$I:$I,RAPOR1!W$13),SUMIFS('HAM VERİ'!$E:$E,'HAM VERİ'!$A:$A,RAPOR1!$H23,'HAM VERİ'!$I:$I,RAPOR1!W$13,'HAM VERİ'!$D:$D,RAPOR1!$B$9))</f>
        <v>72</v>
      </c>
      <c r="X23" s="13">
        <f>IF($B$9="HEPSİ",SUMIFS('HAM VERİ'!$G:$G,'HAM VERİ'!$A:$A,RAPOR1!$H23,'HAM VERİ'!$I:$I,RAPOR1!W$13),SUMIFS('HAM VERİ'!$G:$G,'HAM VERİ'!$A:$A,RAPOR1!$H23,'HAM VERİ'!$I:$I,RAPOR1!W$13,'HAM VERİ'!$D:$D,RAPOR1!$B$9))</f>
        <v>131800</v>
      </c>
      <c r="Y23" s="13">
        <f>IF($B$9="HEPSİ",SUMIFS('HAM VERİ'!$E:$E,'HAM VERİ'!$A:$A,RAPOR1!$H23,'HAM VERİ'!$I:$I,RAPOR1!Y$13),SUMIFS('HAM VERİ'!$E:$E,'HAM VERİ'!$A:$A,RAPOR1!$H23,'HAM VERİ'!$I:$I,RAPOR1!Y$13,'HAM VERİ'!$D:$D,RAPOR1!$B$9))</f>
        <v>14</v>
      </c>
      <c r="Z23" s="13">
        <f>IF($B$9="HEPSİ",SUMIFS('HAM VERİ'!$G:$G,'HAM VERİ'!$A:$A,RAPOR1!$H23,'HAM VERİ'!$I:$I,RAPOR1!Y$13),SUMIFS('HAM VERİ'!$G:$G,'HAM VERİ'!$A:$A,RAPOR1!$H23,'HAM VERİ'!$I:$I,RAPOR1!Y$13,'HAM VERİ'!$D:$D,RAPOR1!$B$9))</f>
        <v>25350</v>
      </c>
      <c r="AA23" s="13">
        <f>IF($B$9="HEPSİ",SUMIFS('HAM VERİ'!$E:$E,'HAM VERİ'!$A:$A,RAPOR1!$H23,'HAM VERİ'!$I:$I,RAPOR1!AA$13),SUMIFS('HAM VERİ'!$E:$E,'HAM VERİ'!$A:$A,RAPOR1!$H23,'HAM VERİ'!$I:$I,RAPOR1!AA$13,'HAM VERİ'!$D:$D,RAPOR1!$B$9))</f>
        <v>65</v>
      </c>
      <c r="AB23" s="13">
        <f>IF($B$9="HEPSİ",SUMIFS('HAM VERİ'!$G:$G,'HAM VERİ'!$A:$A,RAPOR1!$H23,'HAM VERİ'!$I:$I,RAPOR1!AA$13),SUMIFS('HAM VERİ'!$G:$G,'HAM VERİ'!$A:$A,RAPOR1!$H23,'HAM VERİ'!$I:$I,RAPOR1!AA$13,'HAM VERİ'!$D:$D,RAPOR1!$B$9))</f>
        <v>494500</v>
      </c>
      <c r="AC23" s="13">
        <f>IF($B$9="HEPSİ",SUMIFS('HAM VERİ'!$E:$E,'HAM VERİ'!$A:$A,RAPOR1!$H23,'HAM VERİ'!$I:$I,RAPOR1!AC$13),SUMIFS('HAM VERİ'!$E:$E,'HAM VERİ'!$A:$A,RAPOR1!$H23,'HAM VERİ'!$I:$I,RAPOR1!AC$13,'HAM VERİ'!$D:$D,RAPOR1!$B$9))</f>
        <v>142</v>
      </c>
      <c r="AD23" s="13">
        <f>IF($B$9="HEPSİ",SUMIFS('HAM VERİ'!$G:$G,'HAM VERİ'!$A:$A,RAPOR1!$H23,'HAM VERİ'!$I:$I,RAPOR1!AC$13),SUMIFS('HAM VERİ'!$G:$G,'HAM VERİ'!$A:$A,RAPOR1!$H23,'HAM VERİ'!$I:$I,RAPOR1!AC$13,'HAM VERİ'!$D:$D,RAPOR1!$B$9))</f>
        <v>215300</v>
      </c>
      <c r="AE23" s="13">
        <f>IF($B$9="HEPSİ",SUMIFS('HAM VERİ'!$E:$E,'HAM VERİ'!$A:$A,RAPOR1!$H23,'HAM VERİ'!$I:$I,RAPOR1!AE$13),SUMIFS('HAM VERİ'!$E:$E,'HAM VERİ'!$A:$A,RAPOR1!$H23,'HAM VERİ'!$I:$I,RAPOR1!AE$13,'HAM VERİ'!$D:$D,RAPOR1!$B$9))</f>
        <v>79</v>
      </c>
      <c r="AF23" s="13">
        <f>IF($B$9="HEPSİ",SUMIFS('HAM VERİ'!$G:$G,'HAM VERİ'!$A:$A,RAPOR1!$H23,'HAM VERİ'!$I:$I,RAPOR1!AE$13),SUMIFS('HAM VERİ'!$G:$G,'HAM VERİ'!$A:$A,RAPOR1!$H23,'HAM VERİ'!$I:$I,RAPOR1!AE$13,'HAM VERİ'!$D:$D,RAPOR1!$B$9))</f>
        <v>333750</v>
      </c>
      <c r="AG23" s="7"/>
      <c r="AH23" s="7"/>
      <c r="AI23" s="7"/>
      <c r="AJ23" s="7"/>
      <c r="AK23" s="7"/>
      <c r="AL23" s="7"/>
    </row>
    <row r="24" spans="1:38" x14ac:dyDescent="0.25">
      <c r="A24" s="7"/>
      <c r="B24" s="7"/>
      <c r="C24" s="7"/>
      <c r="D24" s="7"/>
      <c r="E24" s="7"/>
      <c r="F24" s="7"/>
      <c r="G24" s="7"/>
      <c r="H24" s="10" t="s">
        <v>23</v>
      </c>
      <c r="I24" s="18">
        <f>IF($B$9="HEPSİ",SUMIFS('HAM VERİ'!$E:$E,'HAM VERİ'!$A:$A,RAPOR1!$H24,'HAM VERİ'!$I:$I,RAPOR1!I$13),SUMIFS('HAM VERİ'!$E:$E,'HAM VERİ'!$A:$A,RAPOR1!$H24,'HAM VERİ'!$I:$I,RAPOR1!I$13,'HAM VERİ'!$D:$D,RAPOR1!$B$9))</f>
        <v>137</v>
      </c>
      <c r="J24" s="18">
        <f>IF($B$9="HEPSİ",SUMIFS('HAM VERİ'!$G:$G,'HAM VERİ'!$A:$A,RAPOR1!$H24,'HAM VERİ'!$I:$I,RAPOR1!I$13),SUMIFS('HAM VERİ'!$G:$G,'HAM VERİ'!$A:$A,RAPOR1!$H24,'HAM VERİ'!$I:$I,RAPOR1!I$13,'HAM VERİ'!$D:$D,RAPOR1!$B$9))</f>
        <v>389000</v>
      </c>
      <c r="K24" s="18">
        <f>IF($B$9="HEPSİ",SUMIFS('HAM VERİ'!$E:$E,'HAM VERİ'!$A:$A,RAPOR1!$H24,'HAM VERİ'!$I:$I,RAPOR1!K$13),SUMIFS('HAM VERİ'!$E:$E,'HAM VERİ'!$A:$A,RAPOR1!$H24,'HAM VERİ'!$I:$I,RAPOR1!K$13,'HAM VERİ'!$D:$D,RAPOR1!$B$9))</f>
        <v>195</v>
      </c>
      <c r="L24" s="18">
        <f>IF($B$9="HEPSİ",SUMIFS('HAM VERİ'!$G:$G,'HAM VERİ'!$A:$A,RAPOR1!$H24,'HAM VERİ'!$I:$I,RAPOR1!K$13),SUMIFS('HAM VERİ'!$G:$G,'HAM VERİ'!$A:$A,RAPOR1!$H24,'HAM VERİ'!$I:$I,RAPOR1!K$13,'HAM VERİ'!$D:$D,RAPOR1!$B$9))</f>
        <v>445300</v>
      </c>
      <c r="M24" s="18">
        <f>IF($B$9="HEPSİ",SUMIFS('HAM VERİ'!$E:$E,'HAM VERİ'!$A:$A,RAPOR1!$H24,'HAM VERİ'!$I:$I,RAPOR1!M$13),SUMIFS('HAM VERİ'!$E:$E,'HAM VERİ'!$A:$A,RAPOR1!$H24,'HAM VERİ'!$I:$I,RAPOR1!M$13,'HAM VERİ'!$D:$D,RAPOR1!$B$9))</f>
        <v>85</v>
      </c>
      <c r="N24" s="18">
        <f>IF($B$9="HEPSİ",SUMIFS('HAM VERİ'!$G:$G,'HAM VERİ'!$A:$A,RAPOR1!$H24,'HAM VERİ'!$I:$I,RAPOR1!M$13),SUMIFS('HAM VERİ'!$G:$G,'HAM VERİ'!$A:$A,RAPOR1!$H24,'HAM VERİ'!$I:$I,RAPOR1!M$13,'HAM VERİ'!$D:$D,RAPOR1!$B$9))</f>
        <v>347300</v>
      </c>
      <c r="O24" s="18">
        <f>IF($B$9="HEPSİ",SUMIFS('HAM VERİ'!$E:$E,'HAM VERİ'!$A:$A,RAPOR1!$H24,'HAM VERİ'!$I:$I,RAPOR1!O$13),SUMIFS('HAM VERİ'!$E:$E,'HAM VERİ'!$A:$A,RAPOR1!$H24,'HAM VERİ'!$I:$I,RAPOR1!O$13,'HAM VERİ'!$D:$D,RAPOR1!$B$9))</f>
        <v>147</v>
      </c>
      <c r="P24" s="18">
        <f>IF($B$9="HEPSİ",SUMIFS('HAM VERİ'!$G:$G,'HAM VERİ'!$A:$A,RAPOR1!$H24,'HAM VERİ'!$I:$I,RAPOR1!O$13),SUMIFS('HAM VERİ'!$G:$G,'HAM VERİ'!$A:$A,RAPOR1!$H24,'HAM VERİ'!$I:$I,RAPOR1!O$13,'HAM VERİ'!$D:$D,RAPOR1!$B$9))</f>
        <v>793350</v>
      </c>
      <c r="Q24" s="18">
        <f>IF($B$9="HEPSİ",SUMIFS('HAM VERİ'!$E:$E,'HAM VERİ'!$A:$A,RAPOR1!$H24,'HAM VERİ'!$I:$I,RAPOR1!Q$13),SUMIFS('HAM VERİ'!$E:$E,'HAM VERİ'!$A:$A,RAPOR1!$H24,'HAM VERİ'!$I:$I,RAPOR1!Q$13,'HAM VERİ'!$D:$D,RAPOR1!$B$9))</f>
        <v>156</v>
      </c>
      <c r="R24" s="18">
        <f>IF($B$9="HEPSİ",SUMIFS('HAM VERİ'!$G:$G,'HAM VERİ'!$A:$A,RAPOR1!$H24,'HAM VERİ'!$I:$I,RAPOR1!Q$13),SUMIFS('HAM VERİ'!$G:$G,'HAM VERİ'!$A:$A,RAPOR1!$H24,'HAM VERİ'!$I:$I,RAPOR1!Q$13,'HAM VERİ'!$D:$D,RAPOR1!$B$9))</f>
        <v>888550</v>
      </c>
      <c r="S24" s="18">
        <f>IF($B$9="HEPSİ",SUMIFS('HAM VERİ'!$E:$E,'HAM VERİ'!$A:$A,RAPOR1!$H24,'HAM VERİ'!$I:$I,RAPOR1!S$13),SUMIFS('HAM VERİ'!$E:$E,'HAM VERİ'!$A:$A,RAPOR1!$H24,'HAM VERİ'!$I:$I,RAPOR1!S$13,'HAM VERİ'!$D:$D,RAPOR1!$B$9))</f>
        <v>116</v>
      </c>
      <c r="T24" s="18">
        <f>IF($B$9="HEPSİ",SUMIFS('HAM VERİ'!$G:$G,'HAM VERİ'!$A:$A,RAPOR1!$H24,'HAM VERİ'!$I:$I,RAPOR1!S$13),SUMIFS('HAM VERİ'!$G:$G,'HAM VERİ'!$A:$A,RAPOR1!$H24,'HAM VERİ'!$I:$I,RAPOR1!S$13,'HAM VERİ'!$D:$D,RAPOR1!$B$9))</f>
        <v>521650</v>
      </c>
      <c r="U24" s="18">
        <f>IF($B$9="HEPSİ",SUMIFS('HAM VERİ'!$E:$E,'HAM VERİ'!$A:$A,RAPOR1!$H24,'HAM VERİ'!$I:$I,RAPOR1!U$13),SUMIFS('HAM VERİ'!$E:$E,'HAM VERİ'!$A:$A,RAPOR1!$H24,'HAM VERİ'!$I:$I,RAPOR1!U$13,'HAM VERİ'!$D:$D,RAPOR1!$B$9))</f>
        <v>107</v>
      </c>
      <c r="V24" s="18">
        <f>IF($B$9="HEPSİ",SUMIFS('HAM VERİ'!$G:$G,'HAM VERİ'!$A:$A,RAPOR1!$H24,'HAM VERİ'!$I:$I,RAPOR1!U$13),SUMIFS('HAM VERİ'!$G:$G,'HAM VERİ'!$A:$A,RAPOR1!$H24,'HAM VERİ'!$I:$I,RAPOR1!U$13,'HAM VERİ'!$D:$D,RAPOR1!$B$9))</f>
        <v>354850</v>
      </c>
      <c r="W24" s="18">
        <f>IF($B$9="HEPSİ",SUMIFS('HAM VERİ'!$E:$E,'HAM VERİ'!$A:$A,RAPOR1!$H24,'HAM VERİ'!$I:$I,RAPOR1!W$13),SUMIFS('HAM VERİ'!$E:$E,'HAM VERİ'!$A:$A,RAPOR1!$H24,'HAM VERİ'!$I:$I,RAPOR1!W$13,'HAM VERİ'!$D:$D,RAPOR1!$B$9))</f>
        <v>136</v>
      </c>
      <c r="X24" s="18">
        <f>IF($B$9="HEPSİ",SUMIFS('HAM VERİ'!$G:$G,'HAM VERİ'!$A:$A,RAPOR1!$H24,'HAM VERİ'!$I:$I,RAPOR1!W$13),SUMIFS('HAM VERİ'!$G:$G,'HAM VERİ'!$A:$A,RAPOR1!$H24,'HAM VERİ'!$I:$I,RAPOR1!W$13,'HAM VERİ'!$D:$D,RAPOR1!$B$9))</f>
        <v>292250</v>
      </c>
      <c r="Y24" s="18">
        <f>IF($B$9="HEPSİ",SUMIFS('HAM VERİ'!$E:$E,'HAM VERİ'!$A:$A,RAPOR1!$H24,'HAM VERİ'!$I:$I,RAPOR1!Y$13),SUMIFS('HAM VERİ'!$E:$E,'HAM VERİ'!$A:$A,RAPOR1!$H24,'HAM VERİ'!$I:$I,RAPOR1!Y$13,'HAM VERİ'!$D:$D,RAPOR1!$B$9))</f>
        <v>195</v>
      </c>
      <c r="Z24" s="18">
        <f>IF($B$9="HEPSİ",SUMIFS('HAM VERİ'!$G:$G,'HAM VERİ'!$A:$A,RAPOR1!$H24,'HAM VERİ'!$I:$I,RAPOR1!Y$13),SUMIFS('HAM VERİ'!$G:$G,'HAM VERİ'!$A:$A,RAPOR1!$H24,'HAM VERİ'!$I:$I,RAPOR1!Y$13,'HAM VERİ'!$D:$D,RAPOR1!$B$9))</f>
        <v>879900</v>
      </c>
      <c r="AA24" s="18">
        <f>IF($B$9="HEPSİ",SUMIFS('HAM VERİ'!$E:$E,'HAM VERİ'!$A:$A,RAPOR1!$H24,'HAM VERİ'!$I:$I,RAPOR1!AA$13),SUMIFS('HAM VERİ'!$E:$E,'HAM VERİ'!$A:$A,RAPOR1!$H24,'HAM VERİ'!$I:$I,RAPOR1!AA$13,'HAM VERİ'!$D:$D,RAPOR1!$B$9))</f>
        <v>99</v>
      </c>
      <c r="AB24" s="18">
        <f>IF($B$9="HEPSİ",SUMIFS('HAM VERİ'!$G:$G,'HAM VERİ'!$A:$A,RAPOR1!$H24,'HAM VERİ'!$I:$I,RAPOR1!AA$13),SUMIFS('HAM VERİ'!$G:$G,'HAM VERİ'!$A:$A,RAPOR1!$H24,'HAM VERİ'!$I:$I,RAPOR1!AA$13,'HAM VERİ'!$D:$D,RAPOR1!$B$9))</f>
        <v>475350</v>
      </c>
      <c r="AC24" s="18">
        <f>IF($B$9="HEPSİ",SUMIFS('HAM VERİ'!$E:$E,'HAM VERİ'!$A:$A,RAPOR1!$H24,'HAM VERİ'!$I:$I,RAPOR1!AC$13),SUMIFS('HAM VERİ'!$E:$E,'HAM VERİ'!$A:$A,RAPOR1!$H24,'HAM VERİ'!$I:$I,RAPOR1!AC$13,'HAM VERİ'!$D:$D,RAPOR1!$B$9))</f>
        <v>196</v>
      </c>
      <c r="AD24" s="18">
        <f>IF($B$9="HEPSİ",SUMIFS('HAM VERİ'!$G:$G,'HAM VERİ'!$A:$A,RAPOR1!$H24,'HAM VERİ'!$I:$I,RAPOR1!AC$13),SUMIFS('HAM VERİ'!$G:$G,'HAM VERİ'!$A:$A,RAPOR1!$H24,'HAM VERİ'!$I:$I,RAPOR1!AC$13,'HAM VERİ'!$D:$D,RAPOR1!$B$9))</f>
        <v>372150</v>
      </c>
      <c r="AE24" s="18">
        <f>IF($B$9="HEPSİ",SUMIFS('HAM VERİ'!$E:$E,'HAM VERİ'!$A:$A,RAPOR1!$H24,'HAM VERİ'!$I:$I,RAPOR1!AE$13),SUMIFS('HAM VERİ'!$E:$E,'HAM VERİ'!$A:$A,RAPOR1!$H24,'HAM VERİ'!$I:$I,RAPOR1!AE$13,'HAM VERİ'!$D:$D,RAPOR1!$B$9))</f>
        <v>71</v>
      </c>
      <c r="AF24" s="18">
        <f>IF($B$9="HEPSİ",SUMIFS('HAM VERİ'!$G:$G,'HAM VERİ'!$A:$A,RAPOR1!$H24,'HAM VERİ'!$I:$I,RAPOR1!AE$13),SUMIFS('HAM VERİ'!$G:$G,'HAM VERİ'!$A:$A,RAPOR1!$H24,'HAM VERİ'!$I:$I,RAPOR1!AE$13,'HAM VERİ'!$D:$D,RAPOR1!$B$9))</f>
        <v>445350</v>
      </c>
      <c r="AG24" s="7"/>
      <c r="AH24" s="7"/>
      <c r="AI24" s="7"/>
      <c r="AJ24" s="7"/>
      <c r="AK24" s="7"/>
      <c r="AL24" s="7"/>
    </row>
    <row r="25" spans="1:38" x14ac:dyDescent="0.25">
      <c r="A25" s="7"/>
      <c r="B25" s="7"/>
      <c r="C25" s="7"/>
      <c r="D25" s="7"/>
      <c r="E25" s="7"/>
      <c r="F25" s="7"/>
      <c r="G25" s="7"/>
      <c r="H25" s="10" t="s">
        <v>24</v>
      </c>
      <c r="I25" s="13">
        <f>IF($B$9="HEPSİ",SUMIFS('HAM VERİ'!$E:$E,'HAM VERİ'!$A:$A,RAPOR1!$H25,'HAM VERİ'!$I:$I,RAPOR1!I$13),SUMIFS('HAM VERİ'!$E:$E,'HAM VERİ'!$A:$A,RAPOR1!$H25,'HAM VERİ'!$I:$I,RAPOR1!I$13,'HAM VERİ'!$D:$D,RAPOR1!$B$9))</f>
        <v>33</v>
      </c>
      <c r="J25" s="13">
        <f>IF($B$9="HEPSİ",SUMIFS('HAM VERİ'!$G:$G,'HAM VERİ'!$A:$A,RAPOR1!$H25,'HAM VERİ'!$I:$I,RAPOR1!I$13),SUMIFS('HAM VERİ'!$G:$G,'HAM VERİ'!$A:$A,RAPOR1!$H25,'HAM VERİ'!$I:$I,RAPOR1!I$13,'HAM VERİ'!$D:$D,RAPOR1!$B$9))</f>
        <v>174000</v>
      </c>
      <c r="K25" s="13">
        <f>IF($B$9="HEPSİ",SUMIFS('HAM VERİ'!$E:$E,'HAM VERİ'!$A:$A,RAPOR1!$H25,'HAM VERİ'!$I:$I,RAPOR1!K$13),SUMIFS('HAM VERİ'!$E:$E,'HAM VERİ'!$A:$A,RAPOR1!$H25,'HAM VERİ'!$I:$I,RAPOR1!K$13,'HAM VERİ'!$D:$D,RAPOR1!$B$9))</f>
        <v>34</v>
      </c>
      <c r="L25" s="13">
        <f>IF($B$9="HEPSİ",SUMIFS('HAM VERİ'!$G:$G,'HAM VERİ'!$A:$A,RAPOR1!$H25,'HAM VERİ'!$I:$I,RAPOR1!K$13),SUMIFS('HAM VERİ'!$G:$G,'HAM VERİ'!$A:$A,RAPOR1!$H25,'HAM VERİ'!$I:$I,RAPOR1!K$13,'HAM VERİ'!$D:$D,RAPOR1!$B$9))</f>
        <v>118150</v>
      </c>
      <c r="M25" s="13">
        <f>IF($B$9="HEPSİ",SUMIFS('HAM VERİ'!$E:$E,'HAM VERİ'!$A:$A,RAPOR1!$H25,'HAM VERİ'!$I:$I,RAPOR1!M$13),SUMIFS('HAM VERİ'!$E:$E,'HAM VERİ'!$A:$A,RAPOR1!$H25,'HAM VERİ'!$I:$I,RAPOR1!M$13,'HAM VERİ'!$D:$D,RAPOR1!$B$9))</f>
        <v>48</v>
      </c>
      <c r="N25" s="13">
        <f>IF($B$9="HEPSİ",SUMIFS('HAM VERİ'!$G:$G,'HAM VERİ'!$A:$A,RAPOR1!$H25,'HAM VERİ'!$I:$I,RAPOR1!M$13),SUMIFS('HAM VERİ'!$G:$G,'HAM VERİ'!$A:$A,RAPOR1!$H25,'HAM VERİ'!$I:$I,RAPOR1!M$13,'HAM VERİ'!$D:$D,RAPOR1!$B$9))</f>
        <v>108750</v>
      </c>
      <c r="O25" s="13">
        <f>IF($B$9="HEPSİ",SUMIFS('HAM VERİ'!$E:$E,'HAM VERİ'!$A:$A,RAPOR1!$H25,'HAM VERİ'!$I:$I,RAPOR1!O$13),SUMIFS('HAM VERİ'!$E:$E,'HAM VERİ'!$A:$A,RAPOR1!$H25,'HAM VERİ'!$I:$I,RAPOR1!O$13,'HAM VERİ'!$D:$D,RAPOR1!$B$9))</f>
        <v>33</v>
      </c>
      <c r="P25" s="13">
        <f>IF($B$9="HEPSİ",SUMIFS('HAM VERİ'!$G:$G,'HAM VERİ'!$A:$A,RAPOR1!$H25,'HAM VERİ'!$I:$I,RAPOR1!O$13),SUMIFS('HAM VERİ'!$G:$G,'HAM VERİ'!$A:$A,RAPOR1!$H25,'HAM VERİ'!$I:$I,RAPOR1!O$13,'HAM VERİ'!$D:$D,RAPOR1!$B$9))</f>
        <v>42450</v>
      </c>
      <c r="Q25" s="13">
        <f>IF($B$9="HEPSİ",SUMIFS('HAM VERİ'!$E:$E,'HAM VERİ'!$A:$A,RAPOR1!$H25,'HAM VERİ'!$I:$I,RAPOR1!Q$13),SUMIFS('HAM VERİ'!$E:$E,'HAM VERİ'!$A:$A,RAPOR1!$H25,'HAM VERİ'!$I:$I,RAPOR1!Q$13,'HAM VERİ'!$D:$D,RAPOR1!$B$9))</f>
        <v>55</v>
      </c>
      <c r="R25" s="13">
        <f>IF($B$9="HEPSİ",SUMIFS('HAM VERİ'!$G:$G,'HAM VERİ'!$A:$A,RAPOR1!$H25,'HAM VERİ'!$I:$I,RAPOR1!Q$13),SUMIFS('HAM VERİ'!$G:$G,'HAM VERİ'!$A:$A,RAPOR1!$H25,'HAM VERİ'!$I:$I,RAPOR1!Q$13,'HAM VERİ'!$D:$D,RAPOR1!$B$9))</f>
        <v>189250</v>
      </c>
      <c r="S25" s="13">
        <f>IF($B$9="HEPSİ",SUMIFS('HAM VERİ'!$E:$E,'HAM VERİ'!$A:$A,RAPOR1!$H25,'HAM VERİ'!$I:$I,RAPOR1!S$13),SUMIFS('HAM VERİ'!$E:$E,'HAM VERİ'!$A:$A,RAPOR1!$H25,'HAM VERİ'!$I:$I,RAPOR1!S$13,'HAM VERİ'!$D:$D,RAPOR1!$B$9))</f>
        <v>20</v>
      </c>
      <c r="T25" s="13">
        <f>IF($B$9="HEPSİ",SUMIFS('HAM VERİ'!$G:$G,'HAM VERİ'!$A:$A,RAPOR1!$H25,'HAM VERİ'!$I:$I,RAPOR1!S$13),SUMIFS('HAM VERİ'!$G:$G,'HAM VERİ'!$A:$A,RAPOR1!$H25,'HAM VERİ'!$I:$I,RAPOR1!S$13,'HAM VERİ'!$D:$D,RAPOR1!$B$9))</f>
        <v>48850</v>
      </c>
      <c r="U25" s="13">
        <f>IF($B$9="HEPSİ",SUMIFS('HAM VERİ'!$E:$E,'HAM VERİ'!$A:$A,RAPOR1!$H25,'HAM VERİ'!$I:$I,RAPOR1!U$13),SUMIFS('HAM VERİ'!$E:$E,'HAM VERİ'!$A:$A,RAPOR1!$H25,'HAM VERİ'!$I:$I,RAPOR1!U$13,'HAM VERİ'!$D:$D,RAPOR1!$B$9))</f>
        <v>75</v>
      </c>
      <c r="V25" s="13">
        <f>IF($B$9="HEPSİ",SUMIFS('HAM VERİ'!$G:$G,'HAM VERİ'!$A:$A,RAPOR1!$H25,'HAM VERİ'!$I:$I,RAPOR1!U$13),SUMIFS('HAM VERİ'!$G:$G,'HAM VERİ'!$A:$A,RAPOR1!$H25,'HAM VERİ'!$I:$I,RAPOR1!U$13,'HAM VERİ'!$D:$D,RAPOR1!$B$9))</f>
        <v>522100</v>
      </c>
      <c r="W25" s="13">
        <f>IF($B$9="HEPSİ",SUMIFS('HAM VERİ'!$E:$E,'HAM VERİ'!$A:$A,RAPOR1!$H25,'HAM VERİ'!$I:$I,RAPOR1!W$13),SUMIFS('HAM VERİ'!$E:$E,'HAM VERİ'!$A:$A,RAPOR1!$H25,'HAM VERİ'!$I:$I,RAPOR1!W$13,'HAM VERİ'!$D:$D,RAPOR1!$B$9))</f>
        <v>15</v>
      </c>
      <c r="X25" s="13">
        <f>IF($B$9="HEPSİ",SUMIFS('HAM VERİ'!$G:$G,'HAM VERİ'!$A:$A,RAPOR1!$H25,'HAM VERİ'!$I:$I,RAPOR1!W$13),SUMIFS('HAM VERİ'!$G:$G,'HAM VERİ'!$A:$A,RAPOR1!$H25,'HAM VERİ'!$I:$I,RAPOR1!W$13,'HAM VERİ'!$D:$D,RAPOR1!$B$9))</f>
        <v>26150</v>
      </c>
      <c r="Y25" s="13">
        <f>IF($B$9="HEPSİ",SUMIFS('HAM VERİ'!$E:$E,'HAM VERİ'!$A:$A,RAPOR1!$H25,'HAM VERİ'!$I:$I,RAPOR1!Y$13),SUMIFS('HAM VERİ'!$E:$E,'HAM VERİ'!$A:$A,RAPOR1!$H25,'HAM VERİ'!$I:$I,RAPOR1!Y$13,'HAM VERİ'!$D:$D,RAPOR1!$B$9))</f>
        <v>116</v>
      </c>
      <c r="Z25" s="13">
        <f>IF($B$9="HEPSİ",SUMIFS('HAM VERİ'!$G:$G,'HAM VERİ'!$A:$A,RAPOR1!$H25,'HAM VERİ'!$I:$I,RAPOR1!Y$13),SUMIFS('HAM VERİ'!$G:$G,'HAM VERİ'!$A:$A,RAPOR1!$H25,'HAM VERİ'!$I:$I,RAPOR1!Y$13,'HAM VERİ'!$D:$D,RAPOR1!$B$9))</f>
        <v>158950</v>
      </c>
      <c r="AA25" s="13">
        <f>IF($B$9="HEPSİ",SUMIFS('HAM VERİ'!$E:$E,'HAM VERİ'!$A:$A,RAPOR1!$H25,'HAM VERİ'!$I:$I,RAPOR1!AA$13),SUMIFS('HAM VERİ'!$E:$E,'HAM VERİ'!$A:$A,RAPOR1!$H25,'HAM VERİ'!$I:$I,RAPOR1!AA$13,'HAM VERİ'!$D:$D,RAPOR1!$B$9))</f>
        <v>85</v>
      </c>
      <c r="AB25" s="13">
        <f>IF($B$9="HEPSİ",SUMIFS('HAM VERİ'!$G:$G,'HAM VERİ'!$A:$A,RAPOR1!$H25,'HAM VERİ'!$I:$I,RAPOR1!AA$13),SUMIFS('HAM VERİ'!$G:$G,'HAM VERİ'!$A:$A,RAPOR1!$H25,'HAM VERİ'!$I:$I,RAPOR1!AA$13,'HAM VERİ'!$D:$D,RAPOR1!$B$9))</f>
        <v>413000</v>
      </c>
      <c r="AC25" s="13">
        <f>IF($B$9="HEPSİ",SUMIFS('HAM VERİ'!$E:$E,'HAM VERİ'!$A:$A,RAPOR1!$H25,'HAM VERİ'!$I:$I,RAPOR1!AC$13),SUMIFS('HAM VERİ'!$E:$E,'HAM VERİ'!$A:$A,RAPOR1!$H25,'HAM VERİ'!$I:$I,RAPOR1!AC$13,'HAM VERİ'!$D:$D,RAPOR1!$B$9))</f>
        <v>99</v>
      </c>
      <c r="AD25" s="13">
        <f>IF($B$9="HEPSİ",SUMIFS('HAM VERİ'!$G:$G,'HAM VERİ'!$A:$A,RAPOR1!$H25,'HAM VERİ'!$I:$I,RAPOR1!AC$13),SUMIFS('HAM VERİ'!$G:$G,'HAM VERİ'!$A:$A,RAPOR1!$H25,'HAM VERİ'!$I:$I,RAPOR1!AC$13,'HAM VERİ'!$D:$D,RAPOR1!$B$9))</f>
        <v>214650</v>
      </c>
      <c r="AE25" s="13">
        <f>IF($B$9="HEPSİ",SUMIFS('HAM VERİ'!$E:$E,'HAM VERİ'!$A:$A,RAPOR1!$H25,'HAM VERİ'!$I:$I,RAPOR1!AE$13),SUMIFS('HAM VERİ'!$E:$E,'HAM VERİ'!$A:$A,RAPOR1!$H25,'HAM VERİ'!$I:$I,RAPOR1!AE$13,'HAM VERİ'!$D:$D,RAPOR1!$B$9))</f>
        <v>97</v>
      </c>
      <c r="AF25" s="13">
        <f>IF($B$9="HEPSİ",SUMIFS('HAM VERİ'!$G:$G,'HAM VERİ'!$A:$A,RAPOR1!$H25,'HAM VERİ'!$I:$I,RAPOR1!AE$13),SUMIFS('HAM VERİ'!$G:$G,'HAM VERİ'!$A:$A,RAPOR1!$H25,'HAM VERİ'!$I:$I,RAPOR1!AE$13,'HAM VERİ'!$D:$D,RAPOR1!$B$9))</f>
        <v>146450</v>
      </c>
      <c r="AG25" s="7"/>
      <c r="AH25" s="7"/>
      <c r="AI25" s="7"/>
      <c r="AJ25" s="7"/>
      <c r="AK25" s="7"/>
      <c r="AL25" s="7"/>
    </row>
    <row r="26" spans="1:38" x14ac:dyDescent="0.25">
      <c r="A26" s="7"/>
      <c r="B26" s="7"/>
      <c r="C26" s="7"/>
      <c r="D26" s="7"/>
      <c r="E26" s="7"/>
      <c r="F26" s="7"/>
      <c r="G26" s="7"/>
      <c r="H26" s="10" t="s">
        <v>25</v>
      </c>
      <c r="I26" s="18">
        <f>IF($B$9="HEPSİ",SUMIFS('HAM VERİ'!$E:$E,'HAM VERİ'!$A:$A,RAPOR1!$H26,'HAM VERİ'!$I:$I,RAPOR1!I$13),SUMIFS('HAM VERİ'!$E:$E,'HAM VERİ'!$A:$A,RAPOR1!$H26,'HAM VERİ'!$I:$I,RAPOR1!I$13,'HAM VERİ'!$D:$D,RAPOR1!$B$9))</f>
        <v>53</v>
      </c>
      <c r="J26" s="18">
        <f>IF($B$9="HEPSİ",SUMIFS('HAM VERİ'!$G:$G,'HAM VERİ'!$A:$A,RAPOR1!$H26,'HAM VERİ'!$I:$I,RAPOR1!I$13),SUMIFS('HAM VERİ'!$G:$G,'HAM VERİ'!$A:$A,RAPOR1!$H26,'HAM VERİ'!$I:$I,RAPOR1!I$13,'HAM VERİ'!$D:$D,RAPOR1!$B$9))</f>
        <v>429200</v>
      </c>
      <c r="K26" s="18">
        <f>IF($B$9="HEPSİ",SUMIFS('HAM VERİ'!$E:$E,'HAM VERİ'!$A:$A,RAPOR1!$H26,'HAM VERİ'!$I:$I,RAPOR1!K$13),SUMIFS('HAM VERİ'!$E:$E,'HAM VERİ'!$A:$A,RAPOR1!$H26,'HAM VERİ'!$I:$I,RAPOR1!K$13,'HAM VERİ'!$D:$D,RAPOR1!$B$9))</f>
        <v>50</v>
      </c>
      <c r="L26" s="18">
        <f>IF($B$9="HEPSİ",SUMIFS('HAM VERİ'!$G:$G,'HAM VERİ'!$A:$A,RAPOR1!$H26,'HAM VERİ'!$I:$I,RAPOR1!K$13),SUMIFS('HAM VERİ'!$G:$G,'HAM VERİ'!$A:$A,RAPOR1!$H26,'HAM VERİ'!$I:$I,RAPOR1!K$13,'HAM VERİ'!$D:$D,RAPOR1!$B$9))</f>
        <v>71850</v>
      </c>
      <c r="M26" s="18">
        <f>IF($B$9="HEPSİ",SUMIFS('HAM VERİ'!$E:$E,'HAM VERİ'!$A:$A,RAPOR1!$H26,'HAM VERİ'!$I:$I,RAPOR1!M$13),SUMIFS('HAM VERİ'!$E:$E,'HAM VERİ'!$A:$A,RAPOR1!$H26,'HAM VERİ'!$I:$I,RAPOR1!M$13,'HAM VERİ'!$D:$D,RAPOR1!$B$9))</f>
        <v>106</v>
      </c>
      <c r="N26" s="18">
        <f>IF($B$9="HEPSİ",SUMIFS('HAM VERİ'!$G:$G,'HAM VERİ'!$A:$A,RAPOR1!$H26,'HAM VERİ'!$I:$I,RAPOR1!M$13),SUMIFS('HAM VERİ'!$G:$G,'HAM VERİ'!$A:$A,RAPOR1!$H26,'HAM VERİ'!$I:$I,RAPOR1!M$13,'HAM VERİ'!$D:$D,RAPOR1!$B$9))</f>
        <v>205200</v>
      </c>
      <c r="O26" s="18">
        <f>IF($B$9="HEPSİ",SUMIFS('HAM VERİ'!$E:$E,'HAM VERİ'!$A:$A,RAPOR1!$H26,'HAM VERİ'!$I:$I,RAPOR1!O$13),SUMIFS('HAM VERİ'!$E:$E,'HAM VERİ'!$A:$A,RAPOR1!$H26,'HAM VERİ'!$I:$I,RAPOR1!O$13,'HAM VERİ'!$D:$D,RAPOR1!$B$9))</f>
        <v>84</v>
      </c>
      <c r="P26" s="18">
        <f>IF($B$9="HEPSİ",SUMIFS('HAM VERİ'!$G:$G,'HAM VERİ'!$A:$A,RAPOR1!$H26,'HAM VERİ'!$I:$I,RAPOR1!O$13),SUMIFS('HAM VERİ'!$G:$G,'HAM VERİ'!$A:$A,RAPOR1!$H26,'HAM VERİ'!$I:$I,RAPOR1!O$13,'HAM VERİ'!$D:$D,RAPOR1!$B$9))</f>
        <v>186200</v>
      </c>
      <c r="Q26" s="18">
        <f>IF($B$9="HEPSİ",SUMIFS('HAM VERİ'!$E:$E,'HAM VERİ'!$A:$A,RAPOR1!$H26,'HAM VERİ'!$I:$I,RAPOR1!Q$13),SUMIFS('HAM VERİ'!$E:$E,'HAM VERİ'!$A:$A,RAPOR1!$H26,'HAM VERİ'!$I:$I,RAPOR1!Q$13,'HAM VERİ'!$D:$D,RAPOR1!$B$9))</f>
        <v>47</v>
      </c>
      <c r="R26" s="18">
        <f>IF($B$9="HEPSİ",SUMIFS('HAM VERİ'!$G:$G,'HAM VERİ'!$A:$A,RAPOR1!$H26,'HAM VERİ'!$I:$I,RAPOR1!Q$13),SUMIFS('HAM VERİ'!$G:$G,'HAM VERİ'!$A:$A,RAPOR1!$H26,'HAM VERİ'!$I:$I,RAPOR1!Q$13,'HAM VERİ'!$D:$D,RAPOR1!$B$9))</f>
        <v>151000</v>
      </c>
      <c r="S26" s="18">
        <f>IF($B$9="HEPSİ",SUMIFS('HAM VERİ'!$E:$E,'HAM VERİ'!$A:$A,RAPOR1!$H26,'HAM VERİ'!$I:$I,RAPOR1!S$13),SUMIFS('HAM VERİ'!$E:$E,'HAM VERİ'!$A:$A,RAPOR1!$H26,'HAM VERİ'!$I:$I,RAPOR1!S$13,'HAM VERİ'!$D:$D,RAPOR1!$B$9))</f>
        <v>81</v>
      </c>
      <c r="T26" s="18">
        <f>IF($B$9="HEPSİ",SUMIFS('HAM VERİ'!$G:$G,'HAM VERİ'!$A:$A,RAPOR1!$H26,'HAM VERİ'!$I:$I,RAPOR1!S$13),SUMIFS('HAM VERİ'!$G:$G,'HAM VERİ'!$A:$A,RAPOR1!$H26,'HAM VERİ'!$I:$I,RAPOR1!S$13,'HAM VERİ'!$D:$D,RAPOR1!$B$9))</f>
        <v>152000</v>
      </c>
      <c r="U26" s="18">
        <f>IF($B$9="HEPSİ",SUMIFS('HAM VERİ'!$E:$E,'HAM VERİ'!$A:$A,RAPOR1!$H26,'HAM VERİ'!$I:$I,RAPOR1!U$13),SUMIFS('HAM VERİ'!$E:$E,'HAM VERİ'!$A:$A,RAPOR1!$H26,'HAM VERİ'!$I:$I,RAPOR1!U$13,'HAM VERİ'!$D:$D,RAPOR1!$B$9))</f>
        <v>103</v>
      </c>
      <c r="V26" s="18">
        <f>IF($B$9="HEPSİ",SUMIFS('HAM VERİ'!$G:$G,'HAM VERİ'!$A:$A,RAPOR1!$H26,'HAM VERİ'!$I:$I,RAPOR1!U$13),SUMIFS('HAM VERİ'!$G:$G,'HAM VERİ'!$A:$A,RAPOR1!$H26,'HAM VERİ'!$I:$I,RAPOR1!U$13,'HAM VERİ'!$D:$D,RAPOR1!$B$9))</f>
        <v>189400</v>
      </c>
      <c r="W26" s="18">
        <f>IF($B$9="HEPSİ",SUMIFS('HAM VERİ'!$E:$E,'HAM VERİ'!$A:$A,RAPOR1!$H26,'HAM VERİ'!$I:$I,RAPOR1!W$13),SUMIFS('HAM VERİ'!$E:$E,'HAM VERİ'!$A:$A,RAPOR1!$H26,'HAM VERİ'!$I:$I,RAPOR1!W$13,'HAM VERİ'!$D:$D,RAPOR1!$B$9))</f>
        <v>157</v>
      </c>
      <c r="X26" s="18">
        <f>IF($B$9="HEPSİ",SUMIFS('HAM VERİ'!$G:$G,'HAM VERİ'!$A:$A,RAPOR1!$H26,'HAM VERİ'!$I:$I,RAPOR1!W$13),SUMIFS('HAM VERİ'!$G:$G,'HAM VERİ'!$A:$A,RAPOR1!$H26,'HAM VERİ'!$I:$I,RAPOR1!W$13,'HAM VERİ'!$D:$D,RAPOR1!$B$9))</f>
        <v>537400</v>
      </c>
      <c r="Y26" s="18">
        <f>IF($B$9="HEPSİ",SUMIFS('HAM VERİ'!$E:$E,'HAM VERİ'!$A:$A,RAPOR1!$H26,'HAM VERİ'!$I:$I,RAPOR1!Y$13),SUMIFS('HAM VERİ'!$E:$E,'HAM VERİ'!$A:$A,RAPOR1!$H26,'HAM VERİ'!$I:$I,RAPOR1!Y$13,'HAM VERİ'!$D:$D,RAPOR1!$B$9))</f>
        <v>112</v>
      </c>
      <c r="Z26" s="18">
        <f>IF($B$9="HEPSİ",SUMIFS('HAM VERİ'!$G:$G,'HAM VERİ'!$A:$A,RAPOR1!$H26,'HAM VERİ'!$I:$I,RAPOR1!Y$13),SUMIFS('HAM VERİ'!$G:$G,'HAM VERİ'!$A:$A,RAPOR1!$H26,'HAM VERİ'!$I:$I,RAPOR1!Y$13,'HAM VERİ'!$D:$D,RAPOR1!$B$9))</f>
        <v>345250</v>
      </c>
      <c r="AA26" s="18">
        <f>IF($B$9="HEPSİ",SUMIFS('HAM VERİ'!$E:$E,'HAM VERİ'!$A:$A,RAPOR1!$H26,'HAM VERİ'!$I:$I,RAPOR1!AA$13),SUMIFS('HAM VERİ'!$E:$E,'HAM VERİ'!$A:$A,RAPOR1!$H26,'HAM VERİ'!$I:$I,RAPOR1!AA$13,'HAM VERİ'!$D:$D,RAPOR1!$B$9))</f>
        <v>56</v>
      </c>
      <c r="AB26" s="18">
        <f>IF($B$9="HEPSİ",SUMIFS('HAM VERİ'!$G:$G,'HAM VERİ'!$A:$A,RAPOR1!$H26,'HAM VERİ'!$I:$I,RAPOR1!AA$13),SUMIFS('HAM VERİ'!$G:$G,'HAM VERİ'!$A:$A,RAPOR1!$H26,'HAM VERİ'!$I:$I,RAPOR1!AA$13,'HAM VERİ'!$D:$D,RAPOR1!$B$9))</f>
        <v>304100</v>
      </c>
      <c r="AC26" s="18">
        <f>IF($B$9="HEPSİ",SUMIFS('HAM VERİ'!$E:$E,'HAM VERİ'!$A:$A,RAPOR1!$H26,'HAM VERİ'!$I:$I,RAPOR1!AC$13),SUMIFS('HAM VERİ'!$E:$E,'HAM VERİ'!$A:$A,RAPOR1!$H26,'HAM VERİ'!$I:$I,RAPOR1!AC$13,'HAM VERİ'!$D:$D,RAPOR1!$B$9))</f>
        <v>64</v>
      </c>
      <c r="AD26" s="18">
        <f>IF($B$9="HEPSİ",SUMIFS('HAM VERİ'!$G:$G,'HAM VERİ'!$A:$A,RAPOR1!$H26,'HAM VERİ'!$I:$I,RAPOR1!AC$13),SUMIFS('HAM VERİ'!$G:$G,'HAM VERİ'!$A:$A,RAPOR1!$H26,'HAM VERİ'!$I:$I,RAPOR1!AC$13,'HAM VERİ'!$D:$D,RAPOR1!$B$9))</f>
        <v>457150</v>
      </c>
      <c r="AE26" s="18">
        <f>IF($B$9="HEPSİ",SUMIFS('HAM VERİ'!$E:$E,'HAM VERİ'!$A:$A,RAPOR1!$H26,'HAM VERİ'!$I:$I,RAPOR1!AE$13),SUMIFS('HAM VERİ'!$E:$E,'HAM VERİ'!$A:$A,RAPOR1!$H26,'HAM VERİ'!$I:$I,RAPOR1!AE$13,'HAM VERİ'!$D:$D,RAPOR1!$B$9))</f>
        <v>105</v>
      </c>
      <c r="AF26" s="18">
        <f>IF($B$9="HEPSİ",SUMIFS('HAM VERİ'!$G:$G,'HAM VERİ'!$A:$A,RAPOR1!$H26,'HAM VERİ'!$I:$I,RAPOR1!AE$13),SUMIFS('HAM VERİ'!$G:$G,'HAM VERİ'!$A:$A,RAPOR1!$H26,'HAM VERİ'!$I:$I,RAPOR1!AE$13,'HAM VERİ'!$D:$D,RAPOR1!$B$9))</f>
        <v>289500</v>
      </c>
      <c r="AG26" s="7"/>
      <c r="AH26" s="7"/>
      <c r="AI26" s="7"/>
      <c r="AJ26" s="7"/>
      <c r="AK26" s="7"/>
      <c r="AL26" s="7"/>
    </row>
    <row r="27" spans="1:38" x14ac:dyDescent="0.25">
      <c r="A27" s="7"/>
      <c r="B27" s="7"/>
      <c r="C27" s="7"/>
      <c r="D27" s="7"/>
      <c r="E27" s="7"/>
      <c r="F27" s="7"/>
      <c r="G27" s="7"/>
      <c r="H27" s="10" t="s">
        <v>26</v>
      </c>
      <c r="I27" s="13">
        <f>IF($B$9="HEPSİ",SUMIFS('HAM VERİ'!$E:$E,'HAM VERİ'!$A:$A,RAPOR1!$H27,'HAM VERİ'!$I:$I,RAPOR1!I$13),SUMIFS('HAM VERİ'!$E:$E,'HAM VERİ'!$A:$A,RAPOR1!$H27,'HAM VERİ'!$I:$I,RAPOR1!I$13,'HAM VERİ'!$D:$D,RAPOR1!$B$9))</f>
        <v>43</v>
      </c>
      <c r="J27" s="13">
        <f>IF($B$9="HEPSİ",SUMIFS('HAM VERİ'!$G:$G,'HAM VERİ'!$A:$A,RAPOR1!$H27,'HAM VERİ'!$I:$I,RAPOR1!I$13),SUMIFS('HAM VERİ'!$G:$G,'HAM VERİ'!$A:$A,RAPOR1!$H27,'HAM VERİ'!$I:$I,RAPOR1!I$13,'HAM VERİ'!$D:$D,RAPOR1!$B$9))</f>
        <v>209300</v>
      </c>
      <c r="K27" s="13">
        <f>IF($B$9="HEPSİ",SUMIFS('HAM VERİ'!$E:$E,'HAM VERİ'!$A:$A,RAPOR1!$H27,'HAM VERİ'!$I:$I,RAPOR1!K$13),SUMIFS('HAM VERİ'!$E:$E,'HAM VERİ'!$A:$A,RAPOR1!$H27,'HAM VERİ'!$I:$I,RAPOR1!K$13,'HAM VERİ'!$D:$D,RAPOR1!$B$9))</f>
        <v>68</v>
      </c>
      <c r="L27" s="13">
        <f>IF($B$9="HEPSİ",SUMIFS('HAM VERİ'!$G:$G,'HAM VERİ'!$A:$A,RAPOR1!$H27,'HAM VERİ'!$I:$I,RAPOR1!K$13),SUMIFS('HAM VERİ'!$G:$G,'HAM VERİ'!$A:$A,RAPOR1!$H27,'HAM VERİ'!$I:$I,RAPOR1!K$13,'HAM VERİ'!$D:$D,RAPOR1!$B$9))</f>
        <v>300500</v>
      </c>
      <c r="M27" s="13">
        <f>IF($B$9="HEPSİ",SUMIFS('HAM VERİ'!$E:$E,'HAM VERİ'!$A:$A,RAPOR1!$H27,'HAM VERİ'!$I:$I,RAPOR1!M$13),SUMIFS('HAM VERİ'!$E:$E,'HAM VERİ'!$A:$A,RAPOR1!$H27,'HAM VERİ'!$I:$I,RAPOR1!M$13,'HAM VERİ'!$D:$D,RAPOR1!$B$9))</f>
        <v>58</v>
      </c>
      <c r="N27" s="13">
        <f>IF($B$9="HEPSİ",SUMIFS('HAM VERİ'!$G:$G,'HAM VERİ'!$A:$A,RAPOR1!$H27,'HAM VERİ'!$I:$I,RAPOR1!M$13),SUMIFS('HAM VERİ'!$G:$G,'HAM VERİ'!$A:$A,RAPOR1!$H27,'HAM VERİ'!$I:$I,RAPOR1!M$13,'HAM VERİ'!$D:$D,RAPOR1!$B$9))</f>
        <v>93000</v>
      </c>
      <c r="O27" s="13">
        <f>IF($B$9="HEPSİ",SUMIFS('HAM VERİ'!$E:$E,'HAM VERİ'!$A:$A,RAPOR1!$H27,'HAM VERİ'!$I:$I,RAPOR1!O$13),SUMIFS('HAM VERİ'!$E:$E,'HAM VERİ'!$A:$A,RAPOR1!$H27,'HAM VERİ'!$I:$I,RAPOR1!O$13,'HAM VERİ'!$D:$D,RAPOR1!$B$9))</f>
        <v>63</v>
      </c>
      <c r="P27" s="13">
        <f>IF($B$9="HEPSİ",SUMIFS('HAM VERİ'!$G:$G,'HAM VERİ'!$A:$A,RAPOR1!$H27,'HAM VERİ'!$I:$I,RAPOR1!O$13),SUMIFS('HAM VERİ'!$G:$G,'HAM VERİ'!$A:$A,RAPOR1!$H27,'HAM VERİ'!$I:$I,RAPOR1!O$13,'HAM VERİ'!$D:$D,RAPOR1!$B$9))</f>
        <v>184000</v>
      </c>
      <c r="Q27" s="13">
        <f>IF($B$9="HEPSİ",SUMIFS('HAM VERİ'!$E:$E,'HAM VERİ'!$A:$A,RAPOR1!$H27,'HAM VERİ'!$I:$I,RAPOR1!Q$13),SUMIFS('HAM VERİ'!$E:$E,'HAM VERİ'!$A:$A,RAPOR1!$H27,'HAM VERİ'!$I:$I,RAPOR1!Q$13,'HAM VERİ'!$D:$D,RAPOR1!$B$9))</f>
        <v>108</v>
      </c>
      <c r="R27" s="13">
        <f>IF($B$9="HEPSİ",SUMIFS('HAM VERİ'!$G:$G,'HAM VERİ'!$A:$A,RAPOR1!$H27,'HAM VERİ'!$I:$I,RAPOR1!Q$13),SUMIFS('HAM VERİ'!$G:$G,'HAM VERİ'!$A:$A,RAPOR1!$H27,'HAM VERİ'!$I:$I,RAPOR1!Q$13,'HAM VERİ'!$D:$D,RAPOR1!$B$9))</f>
        <v>559550</v>
      </c>
      <c r="S27" s="13">
        <f>IF($B$9="HEPSİ",SUMIFS('HAM VERİ'!$E:$E,'HAM VERİ'!$A:$A,RAPOR1!$H27,'HAM VERİ'!$I:$I,RAPOR1!S$13),SUMIFS('HAM VERİ'!$E:$E,'HAM VERİ'!$A:$A,RAPOR1!$H27,'HAM VERİ'!$I:$I,RAPOR1!S$13,'HAM VERİ'!$D:$D,RAPOR1!$B$9))</f>
        <v>119</v>
      </c>
      <c r="T27" s="13">
        <f>IF($B$9="HEPSİ",SUMIFS('HAM VERİ'!$G:$G,'HAM VERİ'!$A:$A,RAPOR1!$H27,'HAM VERİ'!$I:$I,RAPOR1!S$13),SUMIFS('HAM VERİ'!$G:$G,'HAM VERİ'!$A:$A,RAPOR1!$H27,'HAM VERİ'!$I:$I,RAPOR1!S$13,'HAM VERİ'!$D:$D,RAPOR1!$B$9))</f>
        <v>704550</v>
      </c>
      <c r="U27" s="13">
        <f>IF($B$9="HEPSİ",SUMIFS('HAM VERİ'!$E:$E,'HAM VERİ'!$A:$A,RAPOR1!$H27,'HAM VERİ'!$I:$I,RAPOR1!U$13),SUMIFS('HAM VERİ'!$E:$E,'HAM VERİ'!$A:$A,RAPOR1!$H27,'HAM VERİ'!$I:$I,RAPOR1!U$13,'HAM VERİ'!$D:$D,RAPOR1!$B$9))</f>
        <v>69</v>
      </c>
      <c r="V27" s="13">
        <f>IF($B$9="HEPSİ",SUMIFS('HAM VERİ'!$G:$G,'HAM VERİ'!$A:$A,RAPOR1!$H27,'HAM VERİ'!$I:$I,RAPOR1!U$13),SUMIFS('HAM VERİ'!$G:$G,'HAM VERİ'!$A:$A,RAPOR1!$H27,'HAM VERİ'!$I:$I,RAPOR1!U$13,'HAM VERİ'!$D:$D,RAPOR1!$B$9))</f>
        <v>103750</v>
      </c>
      <c r="W27" s="13">
        <f>IF($B$9="HEPSİ",SUMIFS('HAM VERİ'!$E:$E,'HAM VERİ'!$A:$A,RAPOR1!$H27,'HAM VERİ'!$I:$I,RAPOR1!W$13),SUMIFS('HAM VERİ'!$E:$E,'HAM VERİ'!$A:$A,RAPOR1!$H27,'HAM VERİ'!$I:$I,RAPOR1!W$13,'HAM VERİ'!$D:$D,RAPOR1!$B$9))</f>
        <v>97</v>
      </c>
      <c r="X27" s="13">
        <f>IF($B$9="HEPSİ",SUMIFS('HAM VERİ'!$G:$G,'HAM VERİ'!$A:$A,RAPOR1!$H27,'HAM VERİ'!$I:$I,RAPOR1!W$13),SUMIFS('HAM VERİ'!$G:$G,'HAM VERİ'!$A:$A,RAPOR1!$H27,'HAM VERİ'!$I:$I,RAPOR1!W$13,'HAM VERİ'!$D:$D,RAPOR1!$B$9))</f>
        <v>541900</v>
      </c>
      <c r="Y27" s="13">
        <f>IF($B$9="HEPSİ",SUMIFS('HAM VERİ'!$E:$E,'HAM VERİ'!$A:$A,RAPOR1!$H27,'HAM VERİ'!$I:$I,RAPOR1!Y$13),SUMIFS('HAM VERİ'!$E:$E,'HAM VERİ'!$A:$A,RAPOR1!$H27,'HAM VERİ'!$I:$I,RAPOR1!Y$13,'HAM VERİ'!$D:$D,RAPOR1!$B$9))</f>
        <v>41</v>
      </c>
      <c r="Z27" s="13">
        <f>IF($B$9="HEPSİ",SUMIFS('HAM VERİ'!$G:$G,'HAM VERİ'!$A:$A,RAPOR1!$H27,'HAM VERİ'!$I:$I,RAPOR1!Y$13),SUMIFS('HAM VERİ'!$G:$G,'HAM VERİ'!$A:$A,RAPOR1!$H27,'HAM VERİ'!$I:$I,RAPOR1!Y$13,'HAM VERİ'!$D:$D,RAPOR1!$B$9))</f>
        <v>163600</v>
      </c>
      <c r="AA27" s="13">
        <f>IF($B$9="HEPSİ",SUMIFS('HAM VERİ'!$E:$E,'HAM VERİ'!$A:$A,RAPOR1!$H27,'HAM VERİ'!$I:$I,RAPOR1!AA$13),SUMIFS('HAM VERİ'!$E:$E,'HAM VERİ'!$A:$A,RAPOR1!$H27,'HAM VERİ'!$I:$I,RAPOR1!AA$13,'HAM VERİ'!$D:$D,RAPOR1!$B$9))</f>
        <v>253</v>
      </c>
      <c r="AB27" s="13">
        <f>IF($B$9="HEPSİ",SUMIFS('HAM VERİ'!$G:$G,'HAM VERİ'!$A:$A,RAPOR1!$H27,'HAM VERİ'!$I:$I,RAPOR1!AA$13),SUMIFS('HAM VERİ'!$G:$G,'HAM VERİ'!$A:$A,RAPOR1!$H27,'HAM VERİ'!$I:$I,RAPOR1!AA$13,'HAM VERİ'!$D:$D,RAPOR1!$B$9))</f>
        <v>772450</v>
      </c>
      <c r="AC27" s="13">
        <f>IF($B$9="HEPSİ",SUMIFS('HAM VERİ'!$E:$E,'HAM VERİ'!$A:$A,RAPOR1!$H27,'HAM VERİ'!$I:$I,RAPOR1!AC$13),SUMIFS('HAM VERİ'!$E:$E,'HAM VERİ'!$A:$A,RAPOR1!$H27,'HAM VERİ'!$I:$I,RAPOR1!AC$13,'HAM VERİ'!$D:$D,RAPOR1!$B$9))</f>
        <v>39</v>
      </c>
      <c r="AD27" s="13">
        <f>IF($B$9="HEPSİ",SUMIFS('HAM VERİ'!$G:$G,'HAM VERİ'!$A:$A,RAPOR1!$H27,'HAM VERİ'!$I:$I,RAPOR1!AC$13),SUMIFS('HAM VERİ'!$G:$G,'HAM VERİ'!$A:$A,RAPOR1!$H27,'HAM VERİ'!$I:$I,RAPOR1!AC$13,'HAM VERİ'!$D:$D,RAPOR1!$B$9))</f>
        <v>224850</v>
      </c>
      <c r="AE27" s="13">
        <f>IF($B$9="HEPSİ",SUMIFS('HAM VERİ'!$E:$E,'HAM VERİ'!$A:$A,RAPOR1!$H27,'HAM VERİ'!$I:$I,RAPOR1!AE$13),SUMIFS('HAM VERİ'!$E:$E,'HAM VERİ'!$A:$A,RAPOR1!$H27,'HAM VERİ'!$I:$I,RAPOR1!AE$13,'HAM VERİ'!$D:$D,RAPOR1!$B$9))</f>
        <v>105</v>
      </c>
      <c r="AF27" s="13">
        <f>IF($B$9="HEPSİ",SUMIFS('HAM VERİ'!$G:$G,'HAM VERİ'!$A:$A,RAPOR1!$H27,'HAM VERİ'!$I:$I,RAPOR1!AE$13),SUMIFS('HAM VERİ'!$G:$G,'HAM VERİ'!$A:$A,RAPOR1!$H27,'HAM VERİ'!$I:$I,RAPOR1!AE$13,'HAM VERİ'!$D:$D,RAPOR1!$B$9))</f>
        <v>584350</v>
      </c>
      <c r="AG27" s="7"/>
      <c r="AH27" s="7"/>
      <c r="AI27" s="7"/>
      <c r="AJ27" s="7"/>
      <c r="AK27" s="7"/>
      <c r="AL27" s="7"/>
    </row>
    <row r="28" spans="1:38" x14ac:dyDescent="0.25">
      <c r="A28" s="7"/>
      <c r="B28" s="7"/>
      <c r="C28" s="7"/>
      <c r="D28" s="7"/>
      <c r="E28" s="7"/>
      <c r="F28" s="7"/>
      <c r="G28" s="7"/>
      <c r="H28" s="10" t="s">
        <v>27</v>
      </c>
      <c r="I28" s="18">
        <f>IF($B$9="HEPSİ",SUMIFS('HAM VERİ'!$E:$E,'HAM VERİ'!$A:$A,RAPOR1!$H28,'HAM VERİ'!$I:$I,RAPOR1!I$13),SUMIFS('HAM VERİ'!$E:$E,'HAM VERİ'!$A:$A,RAPOR1!$H28,'HAM VERİ'!$I:$I,RAPOR1!I$13,'HAM VERİ'!$D:$D,RAPOR1!$B$9))</f>
        <v>31</v>
      </c>
      <c r="J28" s="18">
        <f>IF($B$9="HEPSİ",SUMIFS('HAM VERİ'!$G:$G,'HAM VERİ'!$A:$A,RAPOR1!$H28,'HAM VERİ'!$I:$I,RAPOR1!I$13),SUMIFS('HAM VERİ'!$G:$G,'HAM VERİ'!$A:$A,RAPOR1!$H28,'HAM VERİ'!$I:$I,RAPOR1!I$13,'HAM VERİ'!$D:$D,RAPOR1!$B$9))</f>
        <v>78900</v>
      </c>
      <c r="K28" s="18">
        <f>IF($B$9="HEPSİ",SUMIFS('HAM VERİ'!$E:$E,'HAM VERİ'!$A:$A,RAPOR1!$H28,'HAM VERİ'!$I:$I,RAPOR1!K$13),SUMIFS('HAM VERİ'!$E:$E,'HAM VERİ'!$A:$A,RAPOR1!$H28,'HAM VERİ'!$I:$I,RAPOR1!K$13,'HAM VERİ'!$D:$D,RAPOR1!$B$9))</f>
        <v>111</v>
      </c>
      <c r="L28" s="18">
        <f>IF($B$9="HEPSİ",SUMIFS('HAM VERİ'!$G:$G,'HAM VERİ'!$A:$A,RAPOR1!$H28,'HAM VERİ'!$I:$I,RAPOR1!K$13),SUMIFS('HAM VERİ'!$G:$G,'HAM VERİ'!$A:$A,RAPOR1!$H28,'HAM VERİ'!$I:$I,RAPOR1!K$13,'HAM VERİ'!$D:$D,RAPOR1!$B$9))</f>
        <v>719800</v>
      </c>
      <c r="M28" s="18">
        <f>IF($B$9="HEPSİ",SUMIFS('HAM VERİ'!$E:$E,'HAM VERİ'!$A:$A,RAPOR1!$H28,'HAM VERİ'!$I:$I,RAPOR1!M$13),SUMIFS('HAM VERİ'!$E:$E,'HAM VERİ'!$A:$A,RAPOR1!$H28,'HAM VERİ'!$I:$I,RAPOR1!M$13,'HAM VERİ'!$D:$D,RAPOR1!$B$9))</f>
        <v>63</v>
      </c>
      <c r="N28" s="18">
        <f>IF($B$9="HEPSİ",SUMIFS('HAM VERİ'!$G:$G,'HAM VERİ'!$A:$A,RAPOR1!$H28,'HAM VERİ'!$I:$I,RAPOR1!M$13),SUMIFS('HAM VERİ'!$G:$G,'HAM VERİ'!$A:$A,RAPOR1!$H28,'HAM VERİ'!$I:$I,RAPOR1!M$13,'HAM VERİ'!$D:$D,RAPOR1!$B$9))</f>
        <v>407400</v>
      </c>
      <c r="O28" s="18">
        <f>IF($B$9="HEPSİ",SUMIFS('HAM VERİ'!$E:$E,'HAM VERİ'!$A:$A,RAPOR1!$H28,'HAM VERİ'!$I:$I,RAPOR1!O$13),SUMIFS('HAM VERİ'!$E:$E,'HAM VERİ'!$A:$A,RAPOR1!$H28,'HAM VERİ'!$I:$I,RAPOR1!O$13,'HAM VERİ'!$D:$D,RAPOR1!$B$9))</f>
        <v>85</v>
      </c>
      <c r="P28" s="18">
        <f>IF($B$9="HEPSİ",SUMIFS('HAM VERİ'!$G:$G,'HAM VERİ'!$A:$A,RAPOR1!$H28,'HAM VERİ'!$I:$I,RAPOR1!O$13),SUMIFS('HAM VERİ'!$G:$G,'HAM VERİ'!$A:$A,RAPOR1!$H28,'HAM VERİ'!$I:$I,RAPOR1!O$13,'HAM VERİ'!$D:$D,RAPOR1!$B$9))</f>
        <v>123100</v>
      </c>
      <c r="Q28" s="18">
        <f>IF($B$9="HEPSİ",SUMIFS('HAM VERİ'!$E:$E,'HAM VERİ'!$A:$A,RAPOR1!$H28,'HAM VERİ'!$I:$I,RAPOR1!Q$13),SUMIFS('HAM VERİ'!$E:$E,'HAM VERİ'!$A:$A,RAPOR1!$H28,'HAM VERİ'!$I:$I,RAPOR1!Q$13,'HAM VERİ'!$D:$D,RAPOR1!$B$9))</f>
        <v>143</v>
      </c>
      <c r="R28" s="18">
        <f>IF($B$9="HEPSİ",SUMIFS('HAM VERİ'!$G:$G,'HAM VERİ'!$A:$A,RAPOR1!$H28,'HAM VERİ'!$I:$I,RAPOR1!Q$13),SUMIFS('HAM VERİ'!$G:$G,'HAM VERİ'!$A:$A,RAPOR1!$H28,'HAM VERİ'!$I:$I,RAPOR1!Q$13,'HAM VERİ'!$D:$D,RAPOR1!$B$9))</f>
        <v>228450</v>
      </c>
      <c r="S28" s="18">
        <f>IF($B$9="HEPSİ",SUMIFS('HAM VERİ'!$E:$E,'HAM VERİ'!$A:$A,RAPOR1!$H28,'HAM VERİ'!$I:$I,RAPOR1!S$13),SUMIFS('HAM VERİ'!$E:$E,'HAM VERİ'!$A:$A,RAPOR1!$H28,'HAM VERİ'!$I:$I,RAPOR1!S$13,'HAM VERİ'!$D:$D,RAPOR1!$B$9))</f>
        <v>51</v>
      </c>
      <c r="T28" s="18">
        <f>IF($B$9="HEPSİ",SUMIFS('HAM VERİ'!$G:$G,'HAM VERİ'!$A:$A,RAPOR1!$H28,'HAM VERİ'!$I:$I,RAPOR1!S$13),SUMIFS('HAM VERİ'!$G:$G,'HAM VERİ'!$A:$A,RAPOR1!$H28,'HAM VERİ'!$I:$I,RAPOR1!S$13,'HAM VERİ'!$D:$D,RAPOR1!$B$9))</f>
        <v>288650</v>
      </c>
      <c r="U28" s="18">
        <f>IF($B$9="HEPSİ",SUMIFS('HAM VERİ'!$E:$E,'HAM VERİ'!$A:$A,RAPOR1!$H28,'HAM VERİ'!$I:$I,RAPOR1!U$13),SUMIFS('HAM VERİ'!$E:$E,'HAM VERİ'!$A:$A,RAPOR1!$H28,'HAM VERİ'!$I:$I,RAPOR1!U$13,'HAM VERİ'!$D:$D,RAPOR1!$B$9))</f>
        <v>144</v>
      </c>
      <c r="V28" s="18">
        <f>IF($B$9="HEPSİ",SUMIFS('HAM VERİ'!$G:$G,'HAM VERİ'!$A:$A,RAPOR1!$H28,'HAM VERİ'!$I:$I,RAPOR1!U$13),SUMIFS('HAM VERİ'!$G:$G,'HAM VERİ'!$A:$A,RAPOR1!$H28,'HAM VERİ'!$I:$I,RAPOR1!U$13,'HAM VERİ'!$D:$D,RAPOR1!$B$9))</f>
        <v>550450</v>
      </c>
      <c r="W28" s="18">
        <f>IF($B$9="HEPSİ",SUMIFS('HAM VERİ'!$E:$E,'HAM VERİ'!$A:$A,RAPOR1!$H28,'HAM VERİ'!$I:$I,RAPOR1!W$13),SUMIFS('HAM VERİ'!$E:$E,'HAM VERİ'!$A:$A,RAPOR1!$H28,'HAM VERİ'!$I:$I,RAPOR1!W$13,'HAM VERİ'!$D:$D,RAPOR1!$B$9))</f>
        <v>42</v>
      </c>
      <c r="X28" s="18">
        <f>IF($B$9="HEPSİ",SUMIFS('HAM VERİ'!$G:$G,'HAM VERİ'!$A:$A,RAPOR1!$H28,'HAM VERİ'!$I:$I,RAPOR1!W$13),SUMIFS('HAM VERİ'!$G:$G,'HAM VERİ'!$A:$A,RAPOR1!$H28,'HAM VERİ'!$I:$I,RAPOR1!W$13,'HAM VERİ'!$D:$D,RAPOR1!$B$9))</f>
        <v>114550</v>
      </c>
      <c r="Y28" s="18">
        <f>IF($B$9="HEPSİ",SUMIFS('HAM VERİ'!$E:$E,'HAM VERİ'!$A:$A,RAPOR1!$H28,'HAM VERİ'!$I:$I,RAPOR1!Y$13),SUMIFS('HAM VERİ'!$E:$E,'HAM VERİ'!$A:$A,RAPOR1!$H28,'HAM VERİ'!$I:$I,RAPOR1!Y$13,'HAM VERİ'!$D:$D,RAPOR1!$B$9))</f>
        <v>117</v>
      </c>
      <c r="Z28" s="18">
        <f>IF($B$9="HEPSİ",SUMIFS('HAM VERİ'!$G:$G,'HAM VERİ'!$A:$A,RAPOR1!$H28,'HAM VERİ'!$I:$I,RAPOR1!Y$13),SUMIFS('HAM VERİ'!$G:$G,'HAM VERİ'!$A:$A,RAPOR1!$H28,'HAM VERİ'!$I:$I,RAPOR1!Y$13,'HAM VERİ'!$D:$D,RAPOR1!$B$9))</f>
        <v>505400</v>
      </c>
      <c r="AA28" s="18">
        <f>IF($B$9="HEPSİ",SUMIFS('HAM VERİ'!$E:$E,'HAM VERİ'!$A:$A,RAPOR1!$H28,'HAM VERİ'!$I:$I,RAPOR1!AA$13),SUMIFS('HAM VERİ'!$E:$E,'HAM VERİ'!$A:$A,RAPOR1!$H28,'HAM VERİ'!$I:$I,RAPOR1!AA$13,'HAM VERİ'!$D:$D,RAPOR1!$B$9))</f>
        <v>54</v>
      </c>
      <c r="AB28" s="18">
        <f>IF($B$9="HEPSİ",SUMIFS('HAM VERİ'!$G:$G,'HAM VERİ'!$A:$A,RAPOR1!$H28,'HAM VERİ'!$I:$I,RAPOR1!AA$13),SUMIFS('HAM VERİ'!$G:$G,'HAM VERİ'!$A:$A,RAPOR1!$H28,'HAM VERİ'!$I:$I,RAPOR1!AA$13,'HAM VERİ'!$D:$D,RAPOR1!$B$9))</f>
        <v>230150</v>
      </c>
      <c r="AC28" s="18">
        <f>IF($B$9="HEPSİ",SUMIFS('HAM VERİ'!$E:$E,'HAM VERİ'!$A:$A,RAPOR1!$H28,'HAM VERİ'!$I:$I,RAPOR1!AC$13),SUMIFS('HAM VERİ'!$E:$E,'HAM VERİ'!$A:$A,RAPOR1!$H28,'HAM VERİ'!$I:$I,RAPOR1!AC$13,'HAM VERİ'!$D:$D,RAPOR1!$B$9))</f>
        <v>116</v>
      </c>
      <c r="AD28" s="18">
        <f>IF($B$9="HEPSİ",SUMIFS('HAM VERİ'!$G:$G,'HAM VERİ'!$A:$A,RAPOR1!$H28,'HAM VERİ'!$I:$I,RAPOR1!AC$13),SUMIFS('HAM VERİ'!$G:$G,'HAM VERİ'!$A:$A,RAPOR1!$H28,'HAM VERİ'!$I:$I,RAPOR1!AC$13,'HAM VERİ'!$D:$D,RAPOR1!$B$9))</f>
        <v>183750</v>
      </c>
      <c r="AE28" s="18">
        <f>IF($B$9="HEPSİ",SUMIFS('HAM VERİ'!$E:$E,'HAM VERİ'!$A:$A,RAPOR1!$H28,'HAM VERİ'!$I:$I,RAPOR1!AE$13),SUMIFS('HAM VERİ'!$E:$E,'HAM VERİ'!$A:$A,RAPOR1!$H28,'HAM VERİ'!$I:$I,RAPOR1!AE$13,'HAM VERİ'!$D:$D,RAPOR1!$B$9))</f>
        <v>164</v>
      </c>
      <c r="AF28" s="18">
        <f>IF($B$9="HEPSİ",SUMIFS('HAM VERİ'!$G:$G,'HAM VERİ'!$A:$A,RAPOR1!$H28,'HAM VERİ'!$I:$I,RAPOR1!AE$13),SUMIFS('HAM VERİ'!$G:$G,'HAM VERİ'!$A:$A,RAPOR1!$H28,'HAM VERİ'!$I:$I,RAPOR1!AE$13,'HAM VERİ'!$D:$D,RAPOR1!$B$9))</f>
        <v>473700</v>
      </c>
      <c r="AG28" s="7"/>
      <c r="AH28" s="7"/>
      <c r="AI28" s="7"/>
      <c r="AJ28" s="7"/>
      <c r="AK28" s="7"/>
      <c r="AL28" s="7"/>
    </row>
    <row r="29" spans="1:38" x14ac:dyDescent="0.25">
      <c r="A29" s="7"/>
      <c r="B29" s="7"/>
      <c r="C29" s="7"/>
      <c r="D29" s="7"/>
      <c r="E29" s="7"/>
      <c r="F29" s="7"/>
      <c r="G29" s="7"/>
      <c r="H29" s="10" t="s">
        <v>28</v>
      </c>
      <c r="I29" s="13">
        <f>IF($B$9="HEPSİ",SUMIFS('HAM VERİ'!$E:$E,'HAM VERİ'!$A:$A,RAPOR1!$H29,'HAM VERİ'!$I:$I,RAPOR1!I$13),SUMIFS('HAM VERİ'!$E:$E,'HAM VERİ'!$A:$A,RAPOR1!$H29,'HAM VERİ'!$I:$I,RAPOR1!I$13,'HAM VERİ'!$D:$D,RAPOR1!$B$9))</f>
        <v>46</v>
      </c>
      <c r="J29" s="13">
        <f>IF($B$9="HEPSİ",SUMIFS('HAM VERİ'!$G:$G,'HAM VERİ'!$A:$A,RAPOR1!$H29,'HAM VERİ'!$I:$I,RAPOR1!I$13),SUMIFS('HAM VERİ'!$G:$G,'HAM VERİ'!$A:$A,RAPOR1!$H29,'HAM VERİ'!$I:$I,RAPOR1!I$13,'HAM VERİ'!$D:$D,RAPOR1!$B$9))</f>
        <v>121200</v>
      </c>
      <c r="K29" s="13">
        <f>IF($B$9="HEPSİ",SUMIFS('HAM VERİ'!$E:$E,'HAM VERİ'!$A:$A,RAPOR1!$H29,'HAM VERİ'!$I:$I,RAPOR1!K$13),SUMIFS('HAM VERİ'!$E:$E,'HAM VERİ'!$A:$A,RAPOR1!$H29,'HAM VERİ'!$I:$I,RAPOR1!K$13,'HAM VERİ'!$D:$D,RAPOR1!$B$9))</f>
        <v>24</v>
      </c>
      <c r="L29" s="13">
        <f>IF($B$9="HEPSİ",SUMIFS('HAM VERİ'!$G:$G,'HAM VERİ'!$A:$A,RAPOR1!$H29,'HAM VERİ'!$I:$I,RAPOR1!K$13),SUMIFS('HAM VERİ'!$G:$G,'HAM VERİ'!$A:$A,RAPOR1!$H29,'HAM VERİ'!$I:$I,RAPOR1!K$13,'HAM VERİ'!$D:$D,RAPOR1!$B$9))</f>
        <v>96600</v>
      </c>
      <c r="M29" s="13">
        <f>IF($B$9="HEPSİ",SUMIFS('HAM VERİ'!$E:$E,'HAM VERİ'!$A:$A,RAPOR1!$H29,'HAM VERİ'!$I:$I,RAPOR1!M$13),SUMIFS('HAM VERİ'!$E:$E,'HAM VERİ'!$A:$A,RAPOR1!$H29,'HAM VERİ'!$I:$I,RAPOR1!M$13,'HAM VERİ'!$D:$D,RAPOR1!$B$9))</f>
        <v>90</v>
      </c>
      <c r="N29" s="13">
        <f>IF($B$9="HEPSİ",SUMIFS('HAM VERİ'!$G:$G,'HAM VERİ'!$A:$A,RAPOR1!$H29,'HAM VERİ'!$I:$I,RAPOR1!M$13),SUMIFS('HAM VERİ'!$G:$G,'HAM VERİ'!$A:$A,RAPOR1!$H29,'HAM VERİ'!$I:$I,RAPOR1!M$13,'HAM VERİ'!$D:$D,RAPOR1!$B$9))</f>
        <v>636300</v>
      </c>
      <c r="O29" s="13">
        <f>IF($B$9="HEPSİ",SUMIFS('HAM VERİ'!$E:$E,'HAM VERİ'!$A:$A,RAPOR1!$H29,'HAM VERİ'!$I:$I,RAPOR1!O$13),SUMIFS('HAM VERİ'!$E:$E,'HAM VERİ'!$A:$A,RAPOR1!$H29,'HAM VERİ'!$I:$I,RAPOR1!O$13,'HAM VERİ'!$D:$D,RAPOR1!$B$9))</f>
        <v>139</v>
      </c>
      <c r="P29" s="13">
        <f>IF($B$9="HEPSİ",SUMIFS('HAM VERİ'!$G:$G,'HAM VERİ'!$A:$A,RAPOR1!$H29,'HAM VERİ'!$I:$I,RAPOR1!O$13),SUMIFS('HAM VERİ'!$G:$G,'HAM VERİ'!$A:$A,RAPOR1!$H29,'HAM VERİ'!$I:$I,RAPOR1!O$13,'HAM VERİ'!$D:$D,RAPOR1!$B$9))</f>
        <v>732600</v>
      </c>
      <c r="Q29" s="13">
        <f>IF($B$9="HEPSİ",SUMIFS('HAM VERİ'!$E:$E,'HAM VERİ'!$A:$A,RAPOR1!$H29,'HAM VERİ'!$I:$I,RAPOR1!Q$13),SUMIFS('HAM VERİ'!$E:$E,'HAM VERİ'!$A:$A,RAPOR1!$H29,'HAM VERİ'!$I:$I,RAPOR1!Q$13,'HAM VERİ'!$D:$D,RAPOR1!$B$9))</f>
        <v>96</v>
      </c>
      <c r="R29" s="13">
        <f>IF($B$9="HEPSİ",SUMIFS('HAM VERİ'!$G:$G,'HAM VERİ'!$A:$A,RAPOR1!$H29,'HAM VERİ'!$I:$I,RAPOR1!Q$13),SUMIFS('HAM VERİ'!$G:$G,'HAM VERİ'!$A:$A,RAPOR1!$H29,'HAM VERİ'!$I:$I,RAPOR1!Q$13,'HAM VERİ'!$D:$D,RAPOR1!$B$9))</f>
        <v>681100</v>
      </c>
      <c r="S29" s="13">
        <f>IF($B$9="HEPSİ",SUMIFS('HAM VERİ'!$E:$E,'HAM VERİ'!$A:$A,RAPOR1!$H29,'HAM VERİ'!$I:$I,RAPOR1!S$13),SUMIFS('HAM VERİ'!$E:$E,'HAM VERİ'!$A:$A,RAPOR1!$H29,'HAM VERİ'!$I:$I,RAPOR1!S$13,'HAM VERİ'!$D:$D,RAPOR1!$B$9))</f>
        <v>43</v>
      </c>
      <c r="T29" s="13">
        <f>IF($B$9="HEPSİ",SUMIFS('HAM VERİ'!$G:$G,'HAM VERİ'!$A:$A,RAPOR1!$H29,'HAM VERİ'!$I:$I,RAPOR1!S$13),SUMIFS('HAM VERİ'!$G:$G,'HAM VERİ'!$A:$A,RAPOR1!$H29,'HAM VERİ'!$I:$I,RAPOR1!S$13,'HAM VERİ'!$D:$D,RAPOR1!$B$9))</f>
        <v>178350</v>
      </c>
      <c r="U29" s="13">
        <f>IF($B$9="HEPSİ",SUMIFS('HAM VERİ'!$E:$E,'HAM VERİ'!$A:$A,RAPOR1!$H29,'HAM VERİ'!$I:$I,RAPOR1!U$13),SUMIFS('HAM VERİ'!$E:$E,'HAM VERİ'!$A:$A,RAPOR1!$H29,'HAM VERİ'!$I:$I,RAPOR1!U$13,'HAM VERİ'!$D:$D,RAPOR1!$B$9))</f>
        <v>55</v>
      </c>
      <c r="V29" s="13">
        <f>IF($B$9="HEPSİ",SUMIFS('HAM VERİ'!$G:$G,'HAM VERİ'!$A:$A,RAPOR1!$H29,'HAM VERİ'!$I:$I,RAPOR1!U$13),SUMIFS('HAM VERİ'!$G:$G,'HAM VERİ'!$A:$A,RAPOR1!$H29,'HAM VERİ'!$I:$I,RAPOR1!U$13,'HAM VERİ'!$D:$D,RAPOR1!$B$9))</f>
        <v>202400</v>
      </c>
      <c r="W29" s="13">
        <f>IF($B$9="HEPSİ",SUMIFS('HAM VERİ'!$E:$E,'HAM VERİ'!$A:$A,RAPOR1!$H29,'HAM VERİ'!$I:$I,RAPOR1!W$13),SUMIFS('HAM VERİ'!$E:$E,'HAM VERİ'!$A:$A,RAPOR1!$H29,'HAM VERİ'!$I:$I,RAPOR1!W$13,'HAM VERİ'!$D:$D,RAPOR1!$B$9))</f>
        <v>104</v>
      </c>
      <c r="X29" s="13">
        <f>IF($B$9="HEPSİ",SUMIFS('HAM VERİ'!$G:$G,'HAM VERİ'!$A:$A,RAPOR1!$H29,'HAM VERİ'!$I:$I,RAPOR1!W$13),SUMIFS('HAM VERİ'!$G:$G,'HAM VERİ'!$A:$A,RAPOR1!$H29,'HAM VERİ'!$I:$I,RAPOR1!W$13,'HAM VERİ'!$D:$D,RAPOR1!$B$9))</f>
        <v>527050</v>
      </c>
      <c r="Y29" s="13">
        <f>IF($B$9="HEPSİ",SUMIFS('HAM VERİ'!$E:$E,'HAM VERİ'!$A:$A,RAPOR1!$H29,'HAM VERİ'!$I:$I,RAPOR1!Y$13),SUMIFS('HAM VERİ'!$E:$E,'HAM VERİ'!$A:$A,RAPOR1!$H29,'HAM VERİ'!$I:$I,RAPOR1!Y$13,'HAM VERİ'!$D:$D,RAPOR1!$B$9))</f>
        <v>29</v>
      </c>
      <c r="Z29" s="13">
        <f>IF($B$9="HEPSİ",SUMIFS('HAM VERİ'!$G:$G,'HAM VERİ'!$A:$A,RAPOR1!$H29,'HAM VERİ'!$I:$I,RAPOR1!Y$13),SUMIFS('HAM VERİ'!$G:$G,'HAM VERİ'!$A:$A,RAPOR1!$H29,'HAM VERİ'!$I:$I,RAPOR1!Y$13,'HAM VERİ'!$D:$D,RAPOR1!$B$9))</f>
        <v>80500</v>
      </c>
      <c r="AA29" s="13">
        <f>IF($B$9="HEPSİ",SUMIFS('HAM VERİ'!$E:$E,'HAM VERİ'!$A:$A,RAPOR1!$H29,'HAM VERİ'!$I:$I,RAPOR1!AA$13),SUMIFS('HAM VERİ'!$E:$E,'HAM VERİ'!$A:$A,RAPOR1!$H29,'HAM VERİ'!$I:$I,RAPOR1!AA$13,'HAM VERİ'!$D:$D,RAPOR1!$B$9))</f>
        <v>69</v>
      </c>
      <c r="AB29" s="13">
        <f>IF($B$9="HEPSİ",SUMIFS('HAM VERİ'!$G:$G,'HAM VERİ'!$A:$A,RAPOR1!$H29,'HAM VERİ'!$I:$I,RAPOR1!AA$13),SUMIFS('HAM VERİ'!$G:$G,'HAM VERİ'!$A:$A,RAPOR1!$H29,'HAM VERİ'!$I:$I,RAPOR1!AA$13,'HAM VERİ'!$D:$D,RAPOR1!$B$9))</f>
        <v>219150</v>
      </c>
      <c r="AC29" s="13">
        <f>IF($B$9="HEPSİ",SUMIFS('HAM VERİ'!$E:$E,'HAM VERİ'!$A:$A,RAPOR1!$H29,'HAM VERİ'!$I:$I,RAPOR1!AC$13),SUMIFS('HAM VERİ'!$E:$E,'HAM VERİ'!$A:$A,RAPOR1!$H29,'HAM VERİ'!$I:$I,RAPOR1!AC$13,'HAM VERİ'!$D:$D,RAPOR1!$B$9))</f>
        <v>82</v>
      </c>
      <c r="AD29" s="13">
        <f>IF($B$9="HEPSİ",SUMIFS('HAM VERİ'!$G:$G,'HAM VERİ'!$A:$A,RAPOR1!$H29,'HAM VERİ'!$I:$I,RAPOR1!AC$13),SUMIFS('HAM VERİ'!$G:$G,'HAM VERİ'!$A:$A,RAPOR1!$H29,'HAM VERİ'!$I:$I,RAPOR1!AC$13,'HAM VERİ'!$D:$D,RAPOR1!$B$9))</f>
        <v>284950</v>
      </c>
      <c r="AE29" s="13">
        <f>IF($B$9="HEPSİ",SUMIFS('HAM VERİ'!$E:$E,'HAM VERİ'!$A:$A,RAPOR1!$H29,'HAM VERİ'!$I:$I,RAPOR1!AE$13),SUMIFS('HAM VERİ'!$E:$E,'HAM VERİ'!$A:$A,RAPOR1!$H29,'HAM VERİ'!$I:$I,RAPOR1!AE$13,'HAM VERİ'!$D:$D,RAPOR1!$B$9))</f>
        <v>50</v>
      </c>
      <c r="AF29" s="13">
        <f>IF($B$9="HEPSİ",SUMIFS('HAM VERİ'!$G:$G,'HAM VERİ'!$A:$A,RAPOR1!$H29,'HAM VERİ'!$I:$I,RAPOR1!AE$13),SUMIFS('HAM VERİ'!$G:$G,'HAM VERİ'!$A:$A,RAPOR1!$H29,'HAM VERİ'!$I:$I,RAPOR1!AE$13,'HAM VERİ'!$D:$D,RAPOR1!$B$9))</f>
        <v>144050</v>
      </c>
      <c r="AG29" s="7"/>
      <c r="AH29" s="7"/>
      <c r="AI29" s="7"/>
      <c r="AJ29" s="7"/>
      <c r="AK29" s="7"/>
      <c r="AL29" s="7"/>
    </row>
    <row r="30" spans="1:38" x14ac:dyDescent="0.25">
      <c r="A30" s="7"/>
      <c r="B30" s="7"/>
      <c r="C30" s="7"/>
      <c r="D30" s="7"/>
      <c r="E30" s="7"/>
      <c r="F30" s="7"/>
      <c r="G30" s="7"/>
      <c r="H30" s="16" t="s">
        <v>92</v>
      </c>
      <c r="I30" s="15">
        <f>SUM(I15:I29)</f>
        <v>1514</v>
      </c>
      <c r="J30" s="15">
        <f t="shared" ref="J30:AF30" si="0">SUM(J15:J29)</f>
        <v>6099050</v>
      </c>
      <c r="K30" s="15">
        <f t="shared" si="0"/>
        <v>1605</v>
      </c>
      <c r="L30" s="15">
        <f t="shared" si="0"/>
        <v>5555250</v>
      </c>
      <c r="M30" s="15">
        <f t="shared" si="0"/>
        <v>1402</v>
      </c>
      <c r="N30" s="15">
        <f t="shared" si="0"/>
        <v>4714200</v>
      </c>
      <c r="O30" s="15">
        <f t="shared" si="0"/>
        <v>1597</v>
      </c>
      <c r="P30" s="15">
        <f t="shared" si="0"/>
        <v>5048250</v>
      </c>
      <c r="Q30" s="15">
        <f t="shared" si="0"/>
        <v>1625</v>
      </c>
      <c r="R30" s="15">
        <f t="shared" si="0"/>
        <v>6664800</v>
      </c>
      <c r="S30" s="15">
        <f t="shared" si="0"/>
        <v>1792</v>
      </c>
      <c r="T30" s="15">
        <f t="shared" si="0"/>
        <v>6466500</v>
      </c>
      <c r="U30" s="15">
        <f t="shared" si="0"/>
        <v>1799</v>
      </c>
      <c r="V30" s="15">
        <f t="shared" si="0"/>
        <v>7858400</v>
      </c>
      <c r="W30" s="15">
        <f t="shared" si="0"/>
        <v>1685</v>
      </c>
      <c r="X30" s="15">
        <f t="shared" si="0"/>
        <v>6477250</v>
      </c>
      <c r="Y30" s="15">
        <f t="shared" si="0"/>
        <v>1525</v>
      </c>
      <c r="Z30" s="15">
        <f t="shared" si="0"/>
        <v>4916500</v>
      </c>
      <c r="AA30" s="15">
        <f t="shared" si="0"/>
        <v>1531</v>
      </c>
      <c r="AB30" s="15">
        <f t="shared" si="0"/>
        <v>6592150</v>
      </c>
      <c r="AC30" s="15">
        <f t="shared" si="0"/>
        <v>1788</v>
      </c>
      <c r="AD30" s="15">
        <f t="shared" si="0"/>
        <v>5758150</v>
      </c>
      <c r="AE30" s="15">
        <f t="shared" si="0"/>
        <v>2013</v>
      </c>
      <c r="AF30" s="15">
        <f t="shared" si="0"/>
        <v>6871250</v>
      </c>
      <c r="AG30" s="7"/>
      <c r="AH30" s="7"/>
      <c r="AI30" s="7"/>
      <c r="AJ30" s="7"/>
      <c r="AK30" s="7"/>
      <c r="AL30" s="7"/>
    </row>
    <row r="31" spans="1:38" x14ac:dyDescent="0.25">
      <c r="A31" s="7"/>
      <c r="B31" s="7"/>
      <c r="C31" s="7"/>
      <c r="D31" s="7"/>
      <c r="E31" s="7"/>
      <c r="F31" s="7"/>
      <c r="G31" s="7"/>
      <c r="H31" s="17" t="s">
        <v>93</v>
      </c>
      <c r="I31" s="14">
        <f>AVERAGE(I15:I29)</f>
        <v>100.93333333333334</v>
      </c>
      <c r="J31" s="14">
        <f t="shared" ref="J31:AF31" si="1">AVERAGE(J15:J29)</f>
        <v>406603.33333333331</v>
      </c>
      <c r="K31" s="14">
        <f t="shared" si="1"/>
        <v>107</v>
      </c>
      <c r="L31" s="14">
        <f t="shared" si="1"/>
        <v>370350</v>
      </c>
      <c r="M31" s="14">
        <f t="shared" si="1"/>
        <v>93.466666666666669</v>
      </c>
      <c r="N31" s="14">
        <f t="shared" si="1"/>
        <v>314280</v>
      </c>
      <c r="O31" s="14">
        <f t="shared" si="1"/>
        <v>106.46666666666667</v>
      </c>
      <c r="P31" s="14">
        <f t="shared" si="1"/>
        <v>336550</v>
      </c>
      <c r="Q31" s="14">
        <f t="shared" si="1"/>
        <v>108.33333333333333</v>
      </c>
      <c r="R31" s="14">
        <f t="shared" si="1"/>
        <v>444320</v>
      </c>
      <c r="S31" s="14">
        <f t="shared" si="1"/>
        <v>119.46666666666667</v>
      </c>
      <c r="T31" s="14">
        <f t="shared" si="1"/>
        <v>431100</v>
      </c>
      <c r="U31" s="14">
        <f t="shared" si="1"/>
        <v>119.93333333333334</v>
      </c>
      <c r="V31" s="14">
        <f t="shared" si="1"/>
        <v>523893.33333333331</v>
      </c>
      <c r="W31" s="14">
        <f t="shared" si="1"/>
        <v>112.33333333333333</v>
      </c>
      <c r="X31" s="14">
        <f t="shared" si="1"/>
        <v>431816.66666666669</v>
      </c>
      <c r="Y31" s="14">
        <f t="shared" si="1"/>
        <v>101.66666666666667</v>
      </c>
      <c r="Z31" s="14">
        <f t="shared" si="1"/>
        <v>327766.66666666669</v>
      </c>
      <c r="AA31" s="14">
        <f t="shared" si="1"/>
        <v>102.06666666666666</v>
      </c>
      <c r="AB31" s="14">
        <f t="shared" si="1"/>
        <v>439476.66666666669</v>
      </c>
      <c r="AC31" s="14">
        <f t="shared" si="1"/>
        <v>119.2</v>
      </c>
      <c r="AD31" s="14">
        <f t="shared" si="1"/>
        <v>383876.66666666669</v>
      </c>
      <c r="AE31" s="14">
        <f t="shared" si="1"/>
        <v>134.19999999999999</v>
      </c>
      <c r="AF31" s="14">
        <f t="shared" si="1"/>
        <v>458083.33333333331</v>
      </c>
      <c r="AG31" s="7"/>
      <c r="AH31" s="7"/>
      <c r="AI31" s="7"/>
      <c r="AJ31" s="7"/>
      <c r="AK31" s="7"/>
      <c r="AL31" s="7"/>
    </row>
    <row r="32" spans="1:38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x14ac:dyDescent="0.25">
      <c r="A36" s="7"/>
      <c r="B36" s="7"/>
      <c r="C36" s="7"/>
      <c r="D36" s="7"/>
      <c r="E36" s="7"/>
      <c r="F36" s="7"/>
      <c r="G36" s="7"/>
      <c r="H36" s="7"/>
      <c r="I36" s="7" t="s">
        <v>94</v>
      </c>
      <c r="J36" s="7" t="s">
        <v>95</v>
      </c>
      <c r="K36" s="7" t="s">
        <v>96</v>
      </c>
      <c r="L36" s="7" t="s">
        <v>97</v>
      </c>
      <c r="M36" s="7" t="s">
        <v>98</v>
      </c>
      <c r="N36" s="7" t="s">
        <v>99</v>
      </c>
      <c r="O36" s="7" t="s">
        <v>100</v>
      </c>
      <c r="P36" s="7" t="s">
        <v>101</v>
      </c>
      <c r="Q36" s="7" t="s">
        <v>102</v>
      </c>
      <c r="R36" s="7" t="s">
        <v>103</v>
      </c>
      <c r="S36" s="7" t="s">
        <v>104</v>
      </c>
      <c r="T36" s="7" t="s">
        <v>105</v>
      </c>
      <c r="U36" s="7"/>
      <c r="V36" s="7" t="s">
        <v>94</v>
      </c>
      <c r="W36" s="7" t="s">
        <v>95</v>
      </c>
      <c r="X36" s="7" t="s">
        <v>96</v>
      </c>
      <c r="Y36" s="7" t="s">
        <v>97</v>
      </c>
      <c r="Z36" s="7" t="s">
        <v>98</v>
      </c>
      <c r="AA36" s="7" t="s">
        <v>99</v>
      </c>
      <c r="AB36" s="7" t="s">
        <v>100</v>
      </c>
      <c r="AC36" s="7" t="s">
        <v>101</v>
      </c>
      <c r="AD36" s="7" t="s">
        <v>102</v>
      </c>
      <c r="AE36" s="7" t="s">
        <v>103</v>
      </c>
      <c r="AF36" s="7" t="s">
        <v>104</v>
      </c>
      <c r="AG36" s="7" t="s">
        <v>105</v>
      </c>
      <c r="AH36" s="7"/>
      <c r="AI36" s="7"/>
      <c r="AJ36" s="7"/>
      <c r="AK36" s="7"/>
      <c r="AL36" s="7"/>
    </row>
    <row r="37" spans="1:38" x14ac:dyDescent="0.25">
      <c r="A37" s="7"/>
      <c r="B37" s="7"/>
      <c r="C37" s="7"/>
      <c r="D37" s="7"/>
      <c r="E37" s="7"/>
      <c r="F37" s="7"/>
      <c r="G37" s="7"/>
      <c r="H37" s="7"/>
      <c r="I37" s="19">
        <f>INDEX($H$13:$AF$29,MATCH($E$39,$H$13:$H$29,0),MATCH(I36,$I$13:$AF$13,0)+1)</f>
        <v>31</v>
      </c>
      <c r="J37" s="19">
        <f t="shared" ref="J37:T37" si="2">INDEX($H$13:$AF$29,MATCH($E$39,$H$13:$H$29,0),MATCH(J36,$I$13:$AF$13,0)+1)</f>
        <v>111</v>
      </c>
      <c r="K37" s="19">
        <f t="shared" si="2"/>
        <v>63</v>
      </c>
      <c r="L37" s="19">
        <f t="shared" si="2"/>
        <v>85</v>
      </c>
      <c r="M37" s="19">
        <f t="shared" si="2"/>
        <v>143</v>
      </c>
      <c r="N37" s="19">
        <f t="shared" si="2"/>
        <v>51</v>
      </c>
      <c r="O37" s="19">
        <f t="shared" si="2"/>
        <v>144</v>
      </c>
      <c r="P37" s="19">
        <f t="shared" si="2"/>
        <v>42</v>
      </c>
      <c r="Q37" s="19">
        <f t="shared" si="2"/>
        <v>117</v>
      </c>
      <c r="R37" s="19">
        <f t="shared" si="2"/>
        <v>54</v>
      </c>
      <c r="S37" s="19">
        <f t="shared" si="2"/>
        <v>116</v>
      </c>
      <c r="T37" s="19">
        <f t="shared" si="2"/>
        <v>164</v>
      </c>
      <c r="U37" s="7"/>
      <c r="V37" s="19">
        <f>INDEX($H$13:$AF$29,MATCH($E$39,$H$13:$H$29,0),MATCH(V36,$I$13:$AF$13,0)+2)</f>
        <v>78900</v>
      </c>
      <c r="W37" s="19">
        <f t="shared" ref="W37:AG37" si="3">INDEX($H$13:$AF$29,MATCH($E$39,$H$13:$H$29,0),MATCH(W36,$I$13:$AF$13,0)+2)</f>
        <v>719800</v>
      </c>
      <c r="X37" s="19">
        <f t="shared" si="3"/>
        <v>407400</v>
      </c>
      <c r="Y37" s="19">
        <f t="shared" si="3"/>
        <v>123100</v>
      </c>
      <c r="Z37" s="19">
        <f t="shared" si="3"/>
        <v>228450</v>
      </c>
      <c r="AA37" s="19">
        <f t="shared" si="3"/>
        <v>288650</v>
      </c>
      <c r="AB37" s="19">
        <f t="shared" si="3"/>
        <v>550450</v>
      </c>
      <c r="AC37" s="19">
        <f t="shared" si="3"/>
        <v>114550</v>
      </c>
      <c r="AD37" s="19">
        <f t="shared" si="3"/>
        <v>505400</v>
      </c>
      <c r="AE37" s="19">
        <f t="shared" si="3"/>
        <v>230150</v>
      </c>
      <c r="AF37" s="19">
        <f t="shared" si="3"/>
        <v>183750</v>
      </c>
      <c r="AG37" s="19">
        <f t="shared" si="3"/>
        <v>473700</v>
      </c>
      <c r="AH37" s="7"/>
      <c r="AI37" s="7"/>
      <c r="AJ37" s="7"/>
      <c r="AK37" s="7"/>
      <c r="AL37" s="7"/>
    </row>
    <row r="38" spans="1:38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x14ac:dyDescent="0.25">
      <c r="A39" s="7"/>
      <c r="B39" s="7"/>
      <c r="C39" s="7"/>
      <c r="D39" s="7"/>
      <c r="E39" s="33" t="s">
        <v>27</v>
      </c>
      <c r="F39" s="33"/>
      <c r="G39" s="33"/>
      <c r="H39" s="7"/>
      <c r="I39" s="7" t="str">
        <f>CONCATENATE(E39," ","İÇİN"," ",B9,"(","ADET",")")</f>
        <v>14. BÖLGE İÇİN HEPSİ(ADET)</v>
      </c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 t="str">
        <f>CONCATENATE(E39," ","İÇİN"," ",B9,"(","TUTAR",")")</f>
        <v>14. BÖLGE İÇİN HEPSİ(TUTAR)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</sheetData>
  <mergeCells count="14">
    <mergeCell ref="E39:G39"/>
    <mergeCell ref="AC13:AD13"/>
    <mergeCell ref="AE13:AF13"/>
    <mergeCell ref="I13:J13"/>
    <mergeCell ref="K13:L13"/>
    <mergeCell ref="M13:N13"/>
    <mergeCell ref="O13:P13"/>
    <mergeCell ref="Q13:R13"/>
    <mergeCell ref="S13:T13"/>
    <mergeCell ref="H13:H14"/>
    <mergeCell ref="U13:V13"/>
    <mergeCell ref="W13:X13"/>
    <mergeCell ref="Y13:Z13"/>
    <mergeCell ref="AA13:AB13"/>
  </mergeCells>
  <conditionalFormatting sqref="I15:AF29">
    <cfRule type="expression" dxfId="0" priority="1">
      <formula>I15&gt;I$31</formula>
    </cfRule>
  </conditionalFormatting>
  <dataValidations count="1">
    <dataValidation type="list" allowBlank="1" showInputMessage="1" showErrorMessage="1" sqref="E39:G39" xr:uid="{00000000-0002-0000-0300-000000000000}">
      <formula1>$H$15:$H$29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17</xdr:col>
                    <xdr:colOff>114300</xdr:colOff>
                    <xdr:row>3</xdr:row>
                    <xdr:rowOff>85725</xdr:rowOff>
                  </from>
                  <to>
                    <xdr:col>20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18</xdr:col>
                    <xdr:colOff>9525</xdr:colOff>
                    <xdr:row>5</xdr:row>
                    <xdr:rowOff>47625</xdr:rowOff>
                  </from>
                  <to>
                    <xdr:col>20</xdr:col>
                    <xdr:colOff>514350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19</xdr:col>
                    <xdr:colOff>38100</xdr:colOff>
                    <xdr:row>7</xdr:row>
                    <xdr:rowOff>57150</xdr:rowOff>
                  </from>
                  <to>
                    <xdr:col>21</xdr:col>
                    <xdr:colOff>619125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>
                <anchor moveWithCells="1">
                  <from>
                    <xdr:col>20</xdr:col>
                    <xdr:colOff>295275</xdr:colOff>
                    <xdr:row>9</xdr:row>
                    <xdr:rowOff>95250</xdr:rowOff>
                  </from>
                  <to>
                    <xdr:col>23</xdr:col>
                    <xdr:colOff>104775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4"/>
  <dimension ref="A1:AL58"/>
  <sheetViews>
    <sheetView showGridLines="0" zoomScale="80" zoomScaleNormal="80" workbookViewId="0">
      <selection activeCell="G12" sqref="G12"/>
    </sheetView>
  </sheetViews>
  <sheetFormatPr defaultRowHeight="15" x14ac:dyDescent="0.25"/>
  <cols>
    <col min="14" max="14" width="11.5703125" bestFit="1" customWidth="1"/>
    <col min="15" max="15" width="9.42578125" customWidth="1"/>
    <col min="16" max="16" width="11.7109375" customWidth="1"/>
    <col min="17" max="17" width="8.7109375" customWidth="1"/>
    <col min="18" max="18" width="12.7109375" customWidth="1"/>
    <col min="19" max="19" width="9.28515625" customWidth="1"/>
    <col min="20" max="20" width="12.42578125" customWidth="1"/>
    <col min="21" max="21" width="10.42578125" customWidth="1"/>
    <col min="22" max="22" width="15.5703125" customWidth="1"/>
  </cols>
  <sheetData>
    <row r="1" spans="1:38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</row>
    <row r="2" spans="1:38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</row>
    <row r="3" spans="1:38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</row>
    <row r="4" spans="1:38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37" t="s">
        <v>22</v>
      </c>
      <c r="P4" s="37"/>
      <c r="Q4" s="37"/>
      <c r="R4" s="37"/>
      <c r="S4" s="37"/>
      <c r="T4" s="37"/>
      <c r="U4" s="3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</row>
    <row r="5" spans="1:38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37"/>
      <c r="P5" s="37"/>
      <c r="Q5" s="37"/>
      <c r="R5" s="37"/>
      <c r="S5" s="37"/>
      <c r="T5" s="37"/>
      <c r="U5" s="3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38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37"/>
      <c r="P6" s="37"/>
      <c r="Q6" s="37"/>
      <c r="R6" s="37"/>
      <c r="S6" s="37"/>
      <c r="T6" s="37"/>
      <c r="U6" s="3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</row>
    <row r="7" spans="1:38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37"/>
      <c r="P7" s="37"/>
      <c r="Q7" s="37"/>
      <c r="R7" s="37"/>
      <c r="S7" s="37"/>
      <c r="T7" s="37"/>
      <c r="U7" s="3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</row>
    <row r="8" spans="1:3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</row>
    <row r="9" spans="1:3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36" t="s">
        <v>106</v>
      </c>
      <c r="O9" s="35" t="s">
        <v>82</v>
      </c>
      <c r="P9" s="34"/>
      <c r="Q9" s="34" t="s">
        <v>83</v>
      </c>
      <c r="R9" s="34"/>
      <c r="S9" s="34" t="s">
        <v>84</v>
      </c>
      <c r="T9" s="34"/>
      <c r="U9" s="34" t="s">
        <v>92</v>
      </c>
      <c r="V9" s="34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</row>
    <row r="10" spans="1:3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36"/>
      <c r="O10" s="21" t="s">
        <v>89</v>
      </c>
      <c r="P10" s="20" t="s">
        <v>90</v>
      </c>
      <c r="Q10" s="20" t="s">
        <v>89</v>
      </c>
      <c r="R10" s="20" t="s">
        <v>90</v>
      </c>
      <c r="S10" s="20" t="s">
        <v>89</v>
      </c>
      <c r="T10" s="20" t="s">
        <v>90</v>
      </c>
      <c r="U10" s="20" t="s">
        <v>89</v>
      </c>
      <c r="V10" s="20" t="s">
        <v>90</v>
      </c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10" t="s">
        <v>1</v>
      </c>
      <c r="O11" s="13">
        <f>SUMIFS('HAM VERİ'!$E:$E,'HAM VERİ'!$I:$I,RAPOR2!$N11,'HAM VERİ'!$D:$D,RAPOR2!O$9,'HAM VERİ'!$A:$A,RAPOR2!$O$4)</f>
        <v>1</v>
      </c>
      <c r="P11" s="13">
        <f>SUMIFS('HAM VERİ'!$G:$G,'HAM VERİ'!$I:$I,RAPOR2!$N11,'HAM VERİ'!$D:$D,RAPOR2!O$9,'HAM VERİ'!$A:$A,RAPOR2!$O$4)</f>
        <v>1250</v>
      </c>
      <c r="Q11" s="13">
        <f>SUMIFS('HAM VERİ'!$E:$E,'HAM VERİ'!$I:$I,RAPOR2!$N11,'HAM VERİ'!$D:$D,RAPOR2!Q$9,'HAM VERİ'!$A:$A,RAPOR2!$O$4)</f>
        <v>44</v>
      </c>
      <c r="R11" s="13">
        <f>SUMIFS('HAM VERİ'!$G:$G,'HAM VERİ'!$I:$I,RAPOR2!$N11,'HAM VERİ'!$D:$D,RAPOR2!Q$9,'HAM VERİ'!$A:$A,RAPOR2!$O$4)</f>
        <v>374000</v>
      </c>
      <c r="S11" s="13">
        <f>SUMIFS('HAM VERİ'!$E:$E,'HAM VERİ'!$I:$I,RAPOR2!$N11,'HAM VERİ'!$D:$D,RAPOR2!S$9,'HAM VERİ'!$A:$A,RAPOR2!$O$4)</f>
        <v>7</v>
      </c>
      <c r="T11" s="13">
        <f>SUMIFS('HAM VERİ'!$G:$G,'HAM VERİ'!$I:$I,RAPOR2!$N11,'HAM VERİ'!$D:$D,RAPOR2!S$9,'HAM VERİ'!$A:$A,RAPOR2!$O$4)</f>
        <v>9800</v>
      </c>
      <c r="U11" s="13">
        <f>SUM(O11,Q11,S11)</f>
        <v>52</v>
      </c>
      <c r="V11" s="13">
        <f>SUM(P11,R11,T11)</f>
        <v>385050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10" t="s">
        <v>2</v>
      </c>
      <c r="O12" s="18">
        <f>SUMIFS('HAM VERİ'!$E:$E,'HAM VERİ'!$I:$I,RAPOR2!$N12,'HAM VERİ'!$D:$D,RAPOR2!O$9,'HAM VERİ'!$A:$A,RAPOR2!$O$4)</f>
        <v>8</v>
      </c>
      <c r="P12" s="18">
        <f>SUMIFS('HAM VERİ'!$G:$G,'HAM VERİ'!$I:$I,RAPOR2!$N12,'HAM VERİ'!$D:$D,RAPOR2!O$9,'HAM VERİ'!$A:$A,RAPOR2!$O$4)</f>
        <v>10000</v>
      </c>
      <c r="Q12" s="18">
        <f>SUMIFS('HAM VERİ'!$E:$E,'HAM VERİ'!$I:$I,RAPOR2!$N12,'HAM VERİ'!$D:$D,RAPOR2!Q$9,'HAM VERİ'!$A:$A,RAPOR2!$O$4)</f>
        <v>37</v>
      </c>
      <c r="R12" s="18">
        <f>SUMIFS('HAM VERİ'!$G:$G,'HAM VERİ'!$I:$I,RAPOR2!$N12,'HAM VERİ'!$D:$D,RAPOR2!Q$9,'HAM VERİ'!$A:$A,RAPOR2!$O$4)</f>
        <v>314500</v>
      </c>
      <c r="S12" s="18">
        <f>SUMIFS('HAM VERİ'!$E:$E,'HAM VERİ'!$I:$I,RAPOR2!$N12,'HAM VERİ'!$D:$D,RAPOR2!S$9,'HAM VERİ'!$A:$A,RAPOR2!$O$4)</f>
        <v>34</v>
      </c>
      <c r="T12" s="18">
        <f>SUMIFS('HAM VERİ'!$G:$G,'HAM VERİ'!$I:$I,RAPOR2!$N12,'HAM VERİ'!$D:$D,RAPOR2!S$9,'HAM VERİ'!$A:$A,RAPOR2!$O$4)</f>
        <v>47600</v>
      </c>
      <c r="U12" s="18">
        <f t="shared" ref="U12:U22" si="0">SUM(O12,Q12,S12)</f>
        <v>79</v>
      </c>
      <c r="V12" s="18">
        <f t="shared" ref="V12:V22" si="1">SUM(P12,R12,T12)</f>
        <v>372100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10" t="s">
        <v>3</v>
      </c>
      <c r="O13" s="13">
        <f>SUMIFS('HAM VERİ'!$E:$E,'HAM VERİ'!$I:$I,RAPOR2!$N13,'HAM VERİ'!$D:$D,RAPOR2!O$9,'HAM VERİ'!$A:$A,RAPOR2!$O$4)</f>
        <v>62</v>
      </c>
      <c r="P13" s="13">
        <f>SUMIFS('HAM VERİ'!$G:$G,'HAM VERİ'!$I:$I,RAPOR2!$N13,'HAM VERİ'!$D:$D,RAPOR2!O$9,'HAM VERİ'!$A:$A,RAPOR2!$O$4)</f>
        <v>77500</v>
      </c>
      <c r="Q13" s="13">
        <f>SUMIFS('HAM VERİ'!$E:$E,'HAM VERİ'!$I:$I,RAPOR2!$N13,'HAM VERİ'!$D:$D,RAPOR2!Q$9,'HAM VERİ'!$A:$A,RAPOR2!$O$4)</f>
        <v>21</v>
      </c>
      <c r="R13" s="13">
        <f>SUMIFS('HAM VERİ'!$G:$G,'HAM VERİ'!$I:$I,RAPOR2!$N13,'HAM VERİ'!$D:$D,RAPOR2!Q$9,'HAM VERİ'!$A:$A,RAPOR2!$O$4)</f>
        <v>178500</v>
      </c>
      <c r="S13" s="13">
        <f>SUMIFS('HAM VERİ'!$E:$E,'HAM VERİ'!$I:$I,RAPOR2!$N13,'HAM VERİ'!$D:$D,RAPOR2!S$9,'HAM VERİ'!$A:$A,RAPOR2!$O$4)</f>
        <v>16</v>
      </c>
      <c r="T13" s="13">
        <f>SUMIFS('HAM VERİ'!$G:$G,'HAM VERİ'!$I:$I,RAPOR2!$N13,'HAM VERİ'!$D:$D,RAPOR2!S$9,'HAM VERİ'!$A:$A,RAPOR2!$O$4)</f>
        <v>22400</v>
      </c>
      <c r="U13" s="13">
        <f t="shared" si="0"/>
        <v>99</v>
      </c>
      <c r="V13" s="13">
        <f t="shared" si="1"/>
        <v>278400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10" t="s">
        <v>4</v>
      </c>
      <c r="O14" s="18">
        <f>SUMIFS('HAM VERİ'!$E:$E,'HAM VERİ'!$I:$I,RAPOR2!$N14,'HAM VERİ'!$D:$D,RAPOR2!O$9,'HAM VERİ'!$A:$A,RAPOR2!$O$4)</f>
        <v>36</v>
      </c>
      <c r="P14" s="18">
        <f>SUMIFS('HAM VERİ'!$G:$G,'HAM VERİ'!$I:$I,RAPOR2!$N14,'HAM VERİ'!$D:$D,RAPOR2!O$9,'HAM VERİ'!$A:$A,RAPOR2!$O$4)</f>
        <v>45000</v>
      </c>
      <c r="Q14" s="18">
        <f>SUMIFS('HAM VERİ'!$E:$E,'HAM VERİ'!$I:$I,RAPOR2!$N14,'HAM VERİ'!$D:$D,RAPOR2!Q$9,'HAM VERİ'!$A:$A,RAPOR2!$O$4)</f>
        <v>13</v>
      </c>
      <c r="R14" s="18">
        <f>SUMIFS('HAM VERİ'!$G:$G,'HAM VERİ'!$I:$I,RAPOR2!$N14,'HAM VERİ'!$D:$D,RAPOR2!Q$9,'HAM VERİ'!$A:$A,RAPOR2!$O$4)</f>
        <v>110500</v>
      </c>
      <c r="S14" s="18">
        <f>SUMIFS('HAM VERİ'!$E:$E,'HAM VERİ'!$I:$I,RAPOR2!$N14,'HAM VERİ'!$D:$D,RAPOR2!S$9,'HAM VERİ'!$A:$A,RAPOR2!$O$4)</f>
        <v>16</v>
      </c>
      <c r="T14" s="18">
        <f>SUMIFS('HAM VERİ'!$G:$G,'HAM VERİ'!$I:$I,RAPOR2!$N14,'HAM VERİ'!$D:$D,RAPOR2!S$9,'HAM VERİ'!$A:$A,RAPOR2!$O$4)</f>
        <v>22400</v>
      </c>
      <c r="U14" s="18">
        <f t="shared" si="0"/>
        <v>65</v>
      </c>
      <c r="V14" s="18">
        <f t="shared" si="1"/>
        <v>177900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10" t="s">
        <v>5</v>
      </c>
      <c r="O15" s="13">
        <f>SUMIFS('HAM VERİ'!$E:$E,'HAM VERİ'!$I:$I,RAPOR2!$N15,'HAM VERİ'!$D:$D,RAPOR2!O$9,'HAM VERİ'!$A:$A,RAPOR2!$O$4)</f>
        <v>7</v>
      </c>
      <c r="P15" s="13">
        <f>SUMIFS('HAM VERİ'!$G:$G,'HAM VERİ'!$I:$I,RAPOR2!$N15,'HAM VERİ'!$D:$D,RAPOR2!O$9,'HAM VERİ'!$A:$A,RAPOR2!$O$4)</f>
        <v>8750</v>
      </c>
      <c r="Q15" s="13">
        <f>SUMIFS('HAM VERİ'!$E:$E,'HAM VERİ'!$I:$I,RAPOR2!$N15,'HAM VERİ'!$D:$D,RAPOR2!Q$9,'HAM VERİ'!$A:$A,RAPOR2!$O$4)</f>
        <v>85</v>
      </c>
      <c r="R15" s="13">
        <f>SUMIFS('HAM VERİ'!$G:$G,'HAM VERİ'!$I:$I,RAPOR2!$N15,'HAM VERİ'!$D:$D,RAPOR2!Q$9,'HAM VERİ'!$A:$A,RAPOR2!$O$4)</f>
        <v>722500</v>
      </c>
      <c r="S15" s="13">
        <f>SUMIFS('HAM VERİ'!$E:$E,'HAM VERİ'!$I:$I,RAPOR2!$N15,'HAM VERİ'!$D:$D,RAPOR2!S$9,'HAM VERİ'!$A:$A,RAPOR2!$O$4)</f>
        <v>33</v>
      </c>
      <c r="T15" s="13">
        <f>SUMIFS('HAM VERİ'!$G:$G,'HAM VERİ'!$I:$I,RAPOR2!$N15,'HAM VERİ'!$D:$D,RAPOR2!S$9,'HAM VERİ'!$A:$A,RAPOR2!$O$4)</f>
        <v>46200</v>
      </c>
      <c r="U15" s="13">
        <f t="shared" si="0"/>
        <v>125</v>
      </c>
      <c r="V15" s="13">
        <f t="shared" si="1"/>
        <v>777450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10" t="s">
        <v>6</v>
      </c>
      <c r="O16" s="18">
        <f>SUMIFS('HAM VERİ'!$E:$E,'HAM VERİ'!$I:$I,RAPOR2!$N16,'HAM VERİ'!$D:$D,RAPOR2!O$9,'HAM VERİ'!$A:$A,RAPOR2!$O$4)</f>
        <v>17</v>
      </c>
      <c r="P16" s="18">
        <f>SUMIFS('HAM VERİ'!$G:$G,'HAM VERİ'!$I:$I,RAPOR2!$N16,'HAM VERİ'!$D:$D,RAPOR2!O$9,'HAM VERİ'!$A:$A,RAPOR2!$O$4)</f>
        <v>21250</v>
      </c>
      <c r="Q16" s="18">
        <f>SUMIFS('HAM VERİ'!$E:$E,'HAM VERİ'!$I:$I,RAPOR2!$N16,'HAM VERİ'!$D:$D,RAPOR2!Q$9,'HAM VERİ'!$A:$A,RAPOR2!$O$4)</f>
        <v>44</v>
      </c>
      <c r="R16" s="18">
        <f>SUMIFS('HAM VERİ'!$G:$G,'HAM VERİ'!$I:$I,RAPOR2!$N16,'HAM VERİ'!$D:$D,RAPOR2!Q$9,'HAM VERİ'!$A:$A,RAPOR2!$O$4)</f>
        <v>374000</v>
      </c>
      <c r="S16" s="18">
        <f>SUMIFS('HAM VERİ'!$E:$E,'HAM VERİ'!$I:$I,RAPOR2!$N16,'HAM VERİ'!$D:$D,RAPOR2!S$9,'HAM VERİ'!$A:$A,RAPOR2!$O$4)</f>
        <v>46</v>
      </c>
      <c r="T16" s="18">
        <f>SUMIFS('HAM VERİ'!$G:$G,'HAM VERİ'!$I:$I,RAPOR2!$N16,'HAM VERİ'!$D:$D,RAPOR2!S$9,'HAM VERİ'!$A:$A,RAPOR2!$O$4)</f>
        <v>64400</v>
      </c>
      <c r="U16" s="18">
        <f t="shared" si="0"/>
        <v>107</v>
      </c>
      <c r="V16" s="18">
        <f t="shared" si="1"/>
        <v>459650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10" t="s">
        <v>7</v>
      </c>
      <c r="O17" s="13">
        <f>SUMIFS('HAM VERİ'!$E:$E,'HAM VERİ'!$I:$I,RAPOR2!$N17,'HAM VERİ'!$D:$D,RAPOR2!O$9,'HAM VERİ'!$A:$A,RAPOR2!$O$4)</f>
        <v>28</v>
      </c>
      <c r="P17" s="13">
        <f>SUMIFS('HAM VERİ'!$G:$G,'HAM VERİ'!$I:$I,RAPOR2!$N17,'HAM VERİ'!$D:$D,RAPOR2!O$9,'HAM VERİ'!$A:$A,RAPOR2!$O$4)</f>
        <v>35000</v>
      </c>
      <c r="Q17" s="13">
        <f>SUMIFS('HAM VERİ'!$E:$E,'HAM VERİ'!$I:$I,RAPOR2!$N17,'HAM VERİ'!$D:$D,RAPOR2!Q$9,'HAM VERİ'!$A:$A,RAPOR2!$O$4)</f>
        <v>13</v>
      </c>
      <c r="R17" s="13">
        <f>SUMIFS('HAM VERİ'!$G:$G,'HAM VERİ'!$I:$I,RAPOR2!$N17,'HAM VERİ'!$D:$D,RAPOR2!Q$9,'HAM VERİ'!$A:$A,RAPOR2!$O$4)</f>
        <v>110500</v>
      </c>
      <c r="S17" s="13">
        <f>SUMIFS('HAM VERİ'!$E:$E,'HAM VERİ'!$I:$I,RAPOR2!$N17,'HAM VERİ'!$D:$D,RAPOR2!S$9,'HAM VERİ'!$A:$A,RAPOR2!$O$4)</f>
        <v>4</v>
      </c>
      <c r="T17" s="13">
        <f>SUMIFS('HAM VERİ'!$G:$G,'HAM VERİ'!$I:$I,RAPOR2!$N17,'HAM VERİ'!$D:$D,RAPOR2!S$9,'HAM VERİ'!$A:$A,RAPOR2!$O$4)</f>
        <v>5600</v>
      </c>
      <c r="U17" s="13">
        <f t="shared" si="0"/>
        <v>45</v>
      </c>
      <c r="V17" s="13">
        <f t="shared" si="1"/>
        <v>151100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x14ac:dyDescent="0.25">
      <c r="A18" s="7" t="s">
        <v>22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10" t="s">
        <v>8</v>
      </c>
      <c r="O18" s="18">
        <f>SUMIFS('HAM VERİ'!$E:$E,'HAM VERİ'!$I:$I,RAPOR2!$N18,'HAM VERİ'!$D:$D,RAPOR2!O$9,'HAM VERİ'!$A:$A,RAPOR2!$O$4)</f>
        <v>30</v>
      </c>
      <c r="P18" s="18">
        <f>SUMIFS('HAM VERİ'!$G:$G,'HAM VERİ'!$I:$I,RAPOR2!$N18,'HAM VERİ'!$D:$D,RAPOR2!O$9,'HAM VERİ'!$A:$A,RAPOR2!$O$4)</f>
        <v>37500</v>
      </c>
      <c r="Q18" s="18">
        <f>SUMIFS('HAM VERİ'!$E:$E,'HAM VERİ'!$I:$I,RAPOR2!$N18,'HAM VERİ'!$D:$D,RAPOR2!Q$9,'HAM VERİ'!$A:$A,RAPOR2!$O$4)</f>
        <v>5</v>
      </c>
      <c r="R18" s="18">
        <f>SUMIFS('HAM VERİ'!$G:$G,'HAM VERİ'!$I:$I,RAPOR2!$N18,'HAM VERİ'!$D:$D,RAPOR2!Q$9,'HAM VERİ'!$A:$A,RAPOR2!$O$4)</f>
        <v>42500</v>
      </c>
      <c r="S18" s="18">
        <f>SUMIFS('HAM VERİ'!$E:$E,'HAM VERİ'!$I:$I,RAPOR2!$N18,'HAM VERİ'!$D:$D,RAPOR2!S$9,'HAM VERİ'!$A:$A,RAPOR2!$O$4)</f>
        <v>37</v>
      </c>
      <c r="T18" s="18">
        <f>SUMIFS('HAM VERİ'!$G:$G,'HAM VERİ'!$I:$I,RAPOR2!$N18,'HAM VERİ'!$D:$D,RAPOR2!S$9,'HAM VERİ'!$A:$A,RAPOR2!$O$4)</f>
        <v>51800</v>
      </c>
      <c r="U18" s="18">
        <f t="shared" si="0"/>
        <v>72</v>
      </c>
      <c r="V18" s="18">
        <f t="shared" si="1"/>
        <v>131800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10" t="s">
        <v>9</v>
      </c>
      <c r="O19" s="13">
        <f>SUMIFS('HAM VERİ'!$E:$E,'HAM VERİ'!$I:$I,RAPOR2!$N19,'HAM VERİ'!$D:$D,RAPOR2!O$9,'HAM VERİ'!$A:$A,RAPOR2!$O$4)</f>
        <v>9</v>
      </c>
      <c r="P19" s="13">
        <f>SUMIFS('HAM VERİ'!$G:$G,'HAM VERİ'!$I:$I,RAPOR2!$N19,'HAM VERİ'!$D:$D,RAPOR2!O$9,'HAM VERİ'!$A:$A,RAPOR2!$O$4)</f>
        <v>11250</v>
      </c>
      <c r="Q19" s="13">
        <f>SUMIFS('HAM VERİ'!$E:$E,'HAM VERİ'!$I:$I,RAPOR2!$N19,'HAM VERİ'!$D:$D,RAPOR2!Q$9,'HAM VERİ'!$A:$A,RAPOR2!$O$4)</f>
        <v>1</v>
      </c>
      <c r="R19" s="13">
        <f>SUMIFS('HAM VERİ'!$G:$G,'HAM VERİ'!$I:$I,RAPOR2!$N19,'HAM VERİ'!$D:$D,RAPOR2!Q$9,'HAM VERİ'!$A:$A,RAPOR2!$O$4)</f>
        <v>8500</v>
      </c>
      <c r="S19" s="13">
        <f>SUMIFS('HAM VERİ'!$E:$E,'HAM VERİ'!$I:$I,RAPOR2!$N19,'HAM VERİ'!$D:$D,RAPOR2!S$9,'HAM VERİ'!$A:$A,RAPOR2!$O$4)</f>
        <v>4</v>
      </c>
      <c r="T19" s="13">
        <f>SUMIFS('HAM VERİ'!$G:$G,'HAM VERİ'!$I:$I,RAPOR2!$N19,'HAM VERİ'!$D:$D,RAPOR2!S$9,'HAM VERİ'!$A:$A,RAPOR2!$O$4)</f>
        <v>5600</v>
      </c>
      <c r="U19" s="13">
        <f t="shared" si="0"/>
        <v>14</v>
      </c>
      <c r="V19" s="13">
        <f t="shared" si="1"/>
        <v>25350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10" t="s">
        <v>10</v>
      </c>
      <c r="O20" s="18">
        <f>SUMIFS('HAM VERİ'!$E:$E,'HAM VERİ'!$I:$I,RAPOR2!$N20,'HAM VERİ'!$D:$D,RAPOR2!O$9,'HAM VERİ'!$A:$A,RAPOR2!$O$4)</f>
        <v>8</v>
      </c>
      <c r="P20" s="18">
        <f>SUMIFS('HAM VERİ'!$G:$G,'HAM VERİ'!$I:$I,RAPOR2!$N20,'HAM VERİ'!$D:$D,RAPOR2!O$9,'HAM VERİ'!$A:$A,RAPOR2!$O$4)</f>
        <v>10000</v>
      </c>
      <c r="Q20" s="18">
        <f>SUMIFS('HAM VERİ'!$E:$E,'HAM VERİ'!$I:$I,RAPOR2!$N20,'HAM VERİ'!$D:$D,RAPOR2!Q$9,'HAM VERİ'!$A:$A,RAPOR2!$O$4)</f>
        <v>57</v>
      </c>
      <c r="R20" s="18">
        <f>SUMIFS('HAM VERİ'!$G:$G,'HAM VERİ'!$I:$I,RAPOR2!$N20,'HAM VERİ'!$D:$D,RAPOR2!Q$9,'HAM VERİ'!$A:$A,RAPOR2!$O$4)</f>
        <v>484500</v>
      </c>
      <c r="S20" s="18">
        <f>SUMIFS('HAM VERİ'!$E:$E,'HAM VERİ'!$I:$I,RAPOR2!$N20,'HAM VERİ'!$D:$D,RAPOR2!S$9,'HAM VERİ'!$A:$A,RAPOR2!$O$4)</f>
        <v>0</v>
      </c>
      <c r="T20" s="18">
        <f>SUMIFS('HAM VERİ'!$G:$G,'HAM VERİ'!$I:$I,RAPOR2!$N20,'HAM VERİ'!$D:$D,RAPOR2!S$9,'HAM VERİ'!$A:$A,RAPOR2!$O$4)</f>
        <v>0</v>
      </c>
      <c r="U20" s="18">
        <f t="shared" si="0"/>
        <v>65</v>
      </c>
      <c r="V20" s="18">
        <f t="shared" si="1"/>
        <v>494500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10" t="s">
        <v>11</v>
      </c>
      <c r="O21" s="13">
        <f>SUMIFS('HAM VERİ'!$E:$E,'HAM VERİ'!$I:$I,RAPOR2!$N21,'HAM VERİ'!$D:$D,RAPOR2!O$9,'HAM VERİ'!$A:$A,RAPOR2!$O$4)</f>
        <v>32</v>
      </c>
      <c r="P21" s="13">
        <f>SUMIFS('HAM VERİ'!$G:$G,'HAM VERİ'!$I:$I,RAPOR2!$N21,'HAM VERİ'!$D:$D,RAPOR2!O$9,'HAM VERİ'!$A:$A,RAPOR2!$O$4)</f>
        <v>40000</v>
      </c>
      <c r="Q21" s="13">
        <f>SUMIFS('HAM VERİ'!$E:$E,'HAM VERİ'!$I:$I,RAPOR2!$N21,'HAM VERİ'!$D:$D,RAPOR2!Q$9,'HAM VERİ'!$A:$A,RAPOR2!$O$4)</f>
        <v>3</v>
      </c>
      <c r="R21" s="13">
        <f>SUMIFS('HAM VERİ'!$G:$G,'HAM VERİ'!$I:$I,RAPOR2!$N21,'HAM VERİ'!$D:$D,RAPOR2!Q$9,'HAM VERİ'!$A:$A,RAPOR2!$O$4)</f>
        <v>25500</v>
      </c>
      <c r="S21" s="13">
        <f>SUMIFS('HAM VERİ'!$E:$E,'HAM VERİ'!$I:$I,RAPOR2!$N21,'HAM VERİ'!$D:$D,RAPOR2!S$9,'HAM VERİ'!$A:$A,RAPOR2!$O$4)</f>
        <v>107</v>
      </c>
      <c r="T21" s="13">
        <f>SUMIFS('HAM VERİ'!$G:$G,'HAM VERİ'!$I:$I,RAPOR2!$N21,'HAM VERİ'!$D:$D,RAPOR2!S$9,'HAM VERİ'!$A:$A,RAPOR2!$O$4)</f>
        <v>149800</v>
      </c>
      <c r="U21" s="13">
        <f t="shared" si="0"/>
        <v>142</v>
      </c>
      <c r="V21" s="13">
        <f t="shared" si="1"/>
        <v>215300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10" t="s">
        <v>12</v>
      </c>
      <c r="O22" s="18">
        <f>SUMIFS('HAM VERİ'!$E:$E,'HAM VERİ'!$I:$I,RAPOR2!$N22,'HAM VERİ'!$D:$D,RAPOR2!O$9,'HAM VERİ'!$A:$A,RAPOR2!$O$4)</f>
        <v>27</v>
      </c>
      <c r="P22" s="18">
        <f>SUMIFS('HAM VERİ'!$G:$G,'HAM VERİ'!$I:$I,RAPOR2!$N22,'HAM VERİ'!$D:$D,RAPOR2!O$9,'HAM VERİ'!$A:$A,RAPOR2!$O$4)</f>
        <v>33750</v>
      </c>
      <c r="Q22" s="18">
        <f>SUMIFS('HAM VERİ'!$E:$E,'HAM VERİ'!$I:$I,RAPOR2!$N22,'HAM VERİ'!$D:$D,RAPOR2!Q$9,'HAM VERİ'!$A:$A,RAPOR2!$O$4)</f>
        <v>32</v>
      </c>
      <c r="R22" s="18">
        <f>SUMIFS('HAM VERİ'!$G:$G,'HAM VERİ'!$I:$I,RAPOR2!$N22,'HAM VERİ'!$D:$D,RAPOR2!Q$9,'HAM VERİ'!$A:$A,RAPOR2!$O$4)</f>
        <v>272000</v>
      </c>
      <c r="S22" s="18">
        <f>SUMIFS('HAM VERİ'!$E:$E,'HAM VERİ'!$I:$I,RAPOR2!$N22,'HAM VERİ'!$D:$D,RAPOR2!S$9,'HAM VERİ'!$A:$A,RAPOR2!$O$4)</f>
        <v>20</v>
      </c>
      <c r="T22" s="18">
        <f>SUMIFS('HAM VERİ'!$G:$G,'HAM VERİ'!$I:$I,RAPOR2!$N22,'HAM VERİ'!$D:$D,RAPOR2!S$9,'HAM VERİ'!$A:$A,RAPOR2!$O$4)</f>
        <v>28000</v>
      </c>
      <c r="U22" s="18">
        <f t="shared" si="0"/>
        <v>79</v>
      </c>
      <c r="V22" s="18">
        <f t="shared" si="1"/>
        <v>333750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16" t="s">
        <v>92</v>
      </c>
      <c r="O23" s="15">
        <f t="shared" ref="O23:V23" si="2">SUM(O11:O22)</f>
        <v>265</v>
      </c>
      <c r="P23" s="15">
        <f t="shared" si="2"/>
        <v>331250</v>
      </c>
      <c r="Q23" s="15">
        <f t="shared" si="2"/>
        <v>355</v>
      </c>
      <c r="R23" s="15">
        <f t="shared" si="2"/>
        <v>3017500</v>
      </c>
      <c r="S23" s="15">
        <f t="shared" si="2"/>
        <v>324</v>
      </c>
      <c r="T23" s="15">
        <f t="shared" si="2"/>
        <v>453600</v>
      </c>
      <c r="U23" s="15">
        <f t="shared" si="2"/>
        <v>944</v>
      </c>
      <c r="V23" s="15">
        <f t="shared" si="2"/>
        <v>3802350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</sheetData>
  <mergeCells count="6">
    <mergeCell ref="O4:U7"/>
    <mergeCell ref="N9:N10"/>
    <mergeCell ref="O9:P9"/>
    <mergeCell ref="Q9:R9"/>
    <mergeCell ref="S9:T9"/>
    <mergeCell ref="U9:V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ListBox1">
          <controlPr defaultSize="0" autoLine="0" linkedCell="O4" listFillRange="Bolgeler" r:id="rId4">
            <anchor moveWithCells="1">
              <from>
                <xdr:col>22</xdr:col>
                <xdr:colOff>247650</xdr:colOff>
                <xdr:row>8</xdr:row>
                <xdr:rowOff>9525</xdr:rowOff>
              </from>
              <to>
                <xdr:col>25</xdr:col>
                <xdr:colOff>295275</xdr:colOff>
                <xdr:row>22</xdr:row>
                <xdr:rowOff>180975</xdr:rowOff>
              </to>
            </anchor>
          </controlPr>
        </control>
      </mc:Choice>
      <mc:Fallback>
        <control shapeId="2049" r:id="rId3" name="List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5"/>
  <dimension ref="A1:AL58"/>
  <sheetViews>
    <sheetView showGridLines="0" zoomScale="80" zoomScaleNormal="80" workbookViewId="0">
      <selection activeCell="H27" sqref="H27"/>
    </sheetView>
  </sheetViews>
  <sheetFormatPr defaultRowHeight="15" x14ac:dyDescent="0.25"/>
  <cols>
    <col min="8" max="8" width="13.140625" customWidth="1"/>
    <col min="9" max="9" width="10.140625" customWidth="1"/>
    <col min="10" max="10" width="13.140625" customWidth="1"/>
    <col min="11" max="11" width="11.42578125" customWidth="1"/>
    <col min="12" max="12" width="13.140625" customWidth="1"/>
    <col min="13" max="13" width="8.85546875" customWidth="1"/>
    <col min="14" max="14" width="11.85546875" customWidth="1"/>
    <col min="15" max="15" width="9.140625" customWidth="1"/>
    <col min="16" max="16" width="14.140625" customWidth="1"/>
  </cols>
  <sheetData>
    <row r="1" spans="1:38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</row>
    <row r="2" spans="1:38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</row>
    <row r="3" spans="1:38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</row>
    <row r="4" spans="1:38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</row>
    <row r="5" spans="1:38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38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</row>
    <row r="7" spans="1:38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</row>
    <row r="8" spans="1:3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</row>
    <row r="9" spans="1:38" x14ac:dyDescent="0.25">
      <c r="A9" s="7"/>
      <c r="B9" s="7"/>
      <c r="C9" s="7"/>
      <c r="D9" s="7"/>
      <c r="E9" s="7"/>
      <c r="F9" s="7"/>
      <c r="G9" s="7"/>
      <c r="H9" s="36" t="s">
        <v>107</v>
      </c>
      <c r="I9" s="35" t="s">
        <v>82</v>
      </c>
      <c r="J9" s="34"/>
      <c r="K9" s="34" t="s">
        <v>83</v>
      </c>
      <c r="L9" s="34"/>
      <c r="M9" s="34" t="s">
        <v>84</v>
      </c>
      <c r="N9" s="34"/>
      <c r="O9" s="34" t="s">
        <v>92</v>
      </c>
      <c r="P9" s="34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</row>
    <row r="10" spans="1:38" x14ac:dyDescent="0.25">
      <c r="A10" s="7"/>
      <c r="B10" s="7"/>
      <c r="C10" s="7"/>
      <c r="D10" s="7"/>
      <c r="E10" s="7"/>
      <c r="F10" s="7"/>
      <c r="G10" s="7"/>
      <c r="H10" s="36"/>
      <c r="I10" s="23" t="s">
        <v>89</v>
      </c>
      <c r="J10" s="22" t="s">
        <v>90</v>
      </c>
      <c r="K10" s="22" t="s">
        <v>89</v>
      </c>
      <c r="L10" s="22" t="s">
        <v>90</v>
      </c>
      <c r="M10" s="22" t="s">
        <v>89</v>
      </c>
      <c r="N10" s="22" t="s">
        <v>90</v>
      </c>
      <c r="O10" s="22" t="s">
        <v>89</v>
      </c>
      <c r="P10" s="22" t="s">
        <v>90</v>
      </c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x14ac:dyDescent="0.25">
      <c r="A11" s="7"/>
      <c r="B11" s="7"/>
      <c r="C11" s="7"/>
      <c r="D11" s="7"/>
      <c r="E11" s="7"/>
      <c r="F11" s="7"/>
      <c r="G11" s="7"/>
      <c r="H11" s="10" t="s">
        <v>36</v>
      </c>
      <c r="I11" s="13">
        <f>SUMIFS('HAM VERİ'!$E:$E,'HAM VERİ'!$D:$D,RAPOR3!I$9,'HAM VERİ'!$B:$B,RAPOR3!$H11)</f>
        <v>312</v>
      </c>
      <c r="J11" s="13">
        <f>SUMIFS('HAM VERİ'!$G:$G,'HAM VERİ'!$D:$D,RAPOR3!I$9,'HAM VERİ'!$B:$B,RAPOR3!$H11)</f>
        <v>390000</v>
      </c>
      <c r="K11" s="13">
        <f>SUMIFS('HAM VERİ'!$E:$E,'HAM VERİ'!$D:$D,RAPOR3!K$9,'HAM VERİ'!$B:$B,RAPOR3!$H11)</f>
        <v>334</v>
      </c>
      <c r="L11" s="13">
        <f>SUMIFS('HAM VERİ'!$G:$G,'HAM VERİ'!$D:$D,RAPOR3!K$9,'HAM VERİ'!$B:$B,RAPOR3!$H11)</f>
        <v>2839000</v>
      </c>
      <c r="M11" s="13">
        <f>SUMIFS('HAM VERİ'!$E:$E,'HAM VERİ'!$D:$D,RAPOR3!M$9,'HAM VERİ'!$B:$B,RAPOR3!$H11)</f>
        <v>284</v>
      </c>
      <c r="N11" s="13">
        <f>SUMIFS('HAM VERİ'!$G:$G,'HAM VERİ'!$D:$D,RAPOR3!M$9,'HAM VERİ'!$B:$B,RAPOR3!$H11)</f>
        <v>397600</v>
      </c>
      <c r="O11" s="13">
        <f>SUM(I11,K11,M11)</f>
        <v>930</v>
      </c>
      <c r="P11" s="13">
        <f>SUM(J11,L11,N11)</f>
        <v>3626600</v>
      </c>
      <c r="Q11" s="7"/>
      <c r="R11" s="7"/>
      <c r="S11" s="7"/>
      <c r="T11" s="7"/>
      <c r="U11" s="7"/>
      <c r="V11" s="7"/>
      <c r="W11" s="7"/>
      <c r="X11" s="7" t="s">
        <v>50</v>
      </c>
      <c r="Y11" s="7" t="str">
        <f>CONCATENATE(X11," ","TOPLAM")</f>
        <v>KONYA TOPLAM</v>
      </c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x14ac:dyDescent="0.25">
      <c r="A12" s="7"/>
      <c r="B12" s="7"/>
      <c r="C12" s="7"/>
      <c r="D12" s="7"/>
      <c r="E12" s="7"/>
      <c r="F12" s="7"/>
      <c r="G12" s="7"/>
      <c r="H12" s="10" t="s">
        <v>29</v>
      </c>
      <c r="I12" s="18">
        <f>SUMIFS('HAM VERİ'!$E:$E,'HAM VERİ'!$D:$D,RAPOR3!I$9,'HAM VERİ'!$B:$B,RAPOR3!$H12)</f>
        <v>592</v>
      </c>
      <c r="J12" s="18">
        <f>SUMIFS('HAM VERİ'!$G:$G,'HAM VERİ'!$D:$D,RAPOR3!I$9,'HAM VERİ'!$B:$B,RAPOR3!$H12)</f>
        <v>740000</v>
      </c>
      <c r="K12" s="18">
        <f>SUMIFS('HAM VERİ'!$E:$E,'HAM VERİ'!$D:$D,RAPOR3!K$9,'HAM VERİ'!$B:$B,RAPOR3!$H12)</f>
        <v>244</v>
      </c>
      <c r="L12" s="18">
        <f>SUMIFS('HAM VERİ'!$G:$G,'HAM VERİ'!$D:$D,RAPOR3!K$9,'HAM VERİ'!$B:$B,RAPOR3!$H12)</f>
        <v>2074000</v>
      </c>
      <c r="M12" s="18">
        <f>SUMIFS('HAM VERİ'!$E:$E,'HAM VERİ'!$D:$D,RAPOR3!M$9,'HAM VERİ'!$B:$B,RAPOR3!$H12)</f>
        <v>189</v>
      </c>
      <c r="N12" s="18">
        <f>SUMIFS('HAM VERİ'!$G:$G,'HAM VERİ'!$D:$D,RAPOR3!M$9,'HAM VERİ'!$B:$B,RAPOR3!$H12)</f>
        <v>264600</v>
      </c>
      <c r="O12" s="18">
        <f t="shared" ref="O12:O32" si="0">SUM(I12,K12,M12)</f>
        <v>1025</v>
      </c>
      <c r="P12" s="18">
        <f t="shared" ref="P12:P32" si="1">SUM(J12,L12,N12)</f>
        <v>3078600</v>
      </c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x14ac:dyDescent="0.25">
      <c r="A13" s="7"/>
      <c r="B13" s="7"/>
      <c r="C13" s="7"/>
      <c r="D13" s="7"/>
      <c r="E13" s="7"/>
      <c r="F13" s="7"/>
      <c r="G13" s="7"/>
      <c r="H13" s="10" t="s">
        <v>30</v>
      </c>
      <c r="I13" s="13">
        <f>SUMIFS('HAM VERİ'!$E:$E,'HAM VERİ'!$D:$D,RAPOR3!I$9,'HAM VERİ'!$B:$B,RAPOR3!$H13)</f>
        <v>154</v>
      </c>
      <c r="J13" s="13">
        <f>SUMIFS('HAM VERİ'!$G:$G,'HAM VERİ'!$D:$D,RAPOR3!I$9,'HAM VERİ'!$B:$B,RAPOR3!$H13)</f>
        <v>192500</v>
      </c>
      <c r="K13" s="13">
        <f>SUMIFS('HAM VERİ'!$E:$E,'HAM VERİ'!$D:$D,RAPOR3!K$9,'HAM VERİ'!$B:$B,RAPOR3!$H13)</f>
        <v>342</v>
      </c>
      <c r="L13" s="13">
        <f>SUMIFS('HAM VERİ'!$G:$G,'HAM VERİ'!$D:$D,RAPOR3!K$9,'HAM VERİ'!$B:$B,RAPOR3!$H13)</f>
        <v>2907000</v>
      </c>
      <c r="M13" s="13">
        <f>SUMIFS('HAM VERİ'!$E:$E,'HAM VERİ'!$D:$D,RAPOR3!M$9,'HAM VERİ'!$B:$B,RAPOR3!$H13)</f>
        <v>279</v>
      </c>
      <c r="N13" s="13">
        <f>SUMIFS('HAM VERİ'!$G:$G,'HAM VERİ'!$D:$D,RAPOR3!M$9,'HAM VERİ'!$B:$B,RAPOR3!$H13)</f>
        <v>390600</v>
      </c>
      <c r="O13" s="13">
        <f t="shared" si="0"/>
        <v>775</v>
      </c>
      <c r="P13" s="13">
        <f t="shared" si="1"/>
        <v>3490100</v>
      </c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x14ac:dyDescent="0.25">
      <c r="A14" s="7"/>
      <c r="B14" s="7"/>
      <c r="C14" s="7"/>
      <c r="D14" s="7"/>
      <c r="E14" s="7"/>
      <c r="F14" s="7"/>
      <c r="G14" s="7"/>
      <c r="H14" s="10" t="s">
        <v>37</v>
      </c>
      <c r="I14" s="18">
        <f>SUMIFS('HAM VERİ'!$E:$E,'HAM VERİ'!$D:$D,RAPOR3!I$9,'HAM VERİ'!$B:$B,RAPOR3!$H14)</f>
        <v>373</v>
      </c>
      <c r="J14" s="18">
        <f>SUMIFS('HAM VERİ'!$G:$G,'HAM VERİ'!$D:$D,RAPOR3!I$9,'HAM VERİ'!$B:$B,RAPOR3!$H14)</f>
        <v>466250</v>
      </c>
      <c r="K14" s="18">
        <f>SUMIFS('HAM VERİ'!$E:$E,'HAM VERİ'!$D:$D,RAPOR3!K$9,'HAM VERİ'!$B:$B,RAPOR3!$H14)</f>
        <v>256</v>
      </c>
      <c r="L14" s="18">
        <f>SUMIFS('HAM VERİ'!$G:$G,'HAM VERİ'!$D:$D,RAPOR3!K$9,'HAM VERİ'!$B:$B,RAPOR3!$H14)</f>
        <v>2176000</v>
      </c>
      <c r="M14" s="18">
        <f>SUMIFS('HAM VERİ'!$E:$E,'HAM VERİ'!$D:$D,RAPOR3!M$9,'HAM VERİ'!$B:$B,RAPOR3!$H14)</f>
        <v>313</v>
      </c>
      <c r="N14" s="18">
        <f>SUMIFS('HAM VERİ'!$G:$G,'HAM VERİ'!$D:$D,RAPOR3!M$9,'HAM VERİ'!$B:$B,RAPOR3!$H14)</f>
        <v>438200</v>
      </c>
      <c r="O14" s="18">
        <f t="shared" si="0"/>
        <v>942</v>
      </c>
      <c r="P14" s="18">
        <f t="shared" si="1"/>
        <v>3080450</v>
      </c>
      <c r="Q14" s="7"/>
      <c r="R14" s="7"/>
      <c r="S14" s="7"/>
      <c r="T14" s="7"/>
      <c r="U14" s="7"/>
      <c r="V14" s="7"/>
      <c r="W14" s="7"/>
      <c r="X14" s="24" t="s">
        <v>89</v>
      </c>
      <c r="Y14" s="24" t="s">
        <v>90</v>
      </c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x14ac:dyDescent="0.25">
      <c r="A15" s="7"/>
      <c r="B15" s="7"/>
      <c r="C15" s="7"/>
      <c r="D15" s="7"/>
      <c r="E15" s="7"/>
      <c r="F15" s="7"/>
      <c r="G15" s="7"/>
      <c r="H15" s="10" t="s">
        <v>38</v>
      </c>
      <c r="I15" s="13">
        <f>SUMIFS('HAM VERİ'!$E:$E,'HAM VERİ'!$D:$D,RAPOR3!I$9,'HAM VERİ'!$B:$B,RAPOR3!$H15)</f>
        <v>263</v>
      </c>
      <c r="J15" s="13">
        <f>SUMIFS('HAM VERİ'!$G:$G,'HAM VERİ'!$D:$D,RAPOR3!I$9,'HAM VERİ'!$B:$B,RAPOR3!$H15)</f>
        <v>328750</v>
      </c>
      <c r="K15" s="13">
        <f>SUMIFS('HAM VERİ'!$E:$E,'HAM VERİ'!$D:$D,RAPOR3!K$9,'HAM VERİ'!$B:$B,RAPOR3!$H15)</f>
        <v>308</v>
      </c>
      <c r="L15" s="13">
        <f>SUMIFS('HAM VERİ'!$G:$G,'HAM VERİ'!$D:$D,RAPOR3!K$9,'HAM VERİ'!$B:$B,RAPOR3!$H15)</f>
        <v>2618000</v>
      </c>
      <c r="M15" s="13">
        <f>SUMIFS('HAM VERİ'!$E:$E,'HAM VERİ'!$D:$D,RAPOR3!M$9,'HAM VERİ'!$B:$B,RAPOR3!$H15)</f>
        <v>127</v>
      </c>
      <c r="N15" s="13">
        <f>SUMIFS('HAM VERİ'!$G:$G,'HAM VERİ'!$D:$D,RAPOR3!M$9,'HAM VERİ'!$B:$B,RAPOR3!$H15)</f>
        <v>177800</v>
      </c>
      <c r="O15" s="13">
        <f t="shared" si="0"/>
        <v>698</v>
      </c>
      <c r="P15" s="13">
        <f t="shared" si="1"/>
        <v>3124550</v>
      </c>
      <c r="Q15" s="7"/>
      <c r="R15" s="7"/>
      <c r="S15" s="7"/>
      <c r="T15" s="7"/>
      <c r="U15" s="7"/>
      <c r="V15" s="7"/>
      <c r="W15" s="5" t="s">
        <v>1</v>
      </c>
      <c r="X15" s="13">
        <f>SUMIFS('HAM VERİ'!$E:$E,'HAM VERİ'!$I:$I,RAPOR3!$W15,'HAM VERİ'!$B:$B,RAPOR3!$X$11)</f>
        <v>96</v>
      </c>
      <c r="Y15" s="13">
        <f>SUMIFS('HAM VERİ'!$G:$G,'HAM VERİ'!$I:$I,RAPOR3!$W15,'HAM VERİ'!$B:$B,RAPOR3!$X$11)</f>
        <v>346950</v>
      </c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x14ac:dyDescent="0.25">
      <c r="A16" s="7"/>
      <c r="B16" s="7"/>
      <c r="C16" s="7"/>
      <c r="D16" s="7"/>
      <c r="E16" s="7"/>
      <c r="F16" s="7"/>
      <c r="G16" s="7"/>
      <c r="H16" s="10" t="s">
        <v>39</v>
      </c>
      <c r="I16" s="18">
        <f>SUMIFS('HAM VERİ'!$E:$E,'HAM VERİ'!$D:$D,RAPOR3!I$9,'HAM VERİ'!$B:$B,RAPOR3!$H16)</f>
        <v>255</v>
      </c>
      <c r="J16" s="18">
        <f>SUMIFS('HAM VERİ'!$G:$G,'HAM VERİ'!$D:$D,RAPOR3!I$9,'HAM VERİ'!$B:$B,RAPOR3!$H16)</f>
        <v>318750</v>
      </c>
      <c r="K16" s="18">
        <f>SUMIFS('HAM VERİ'!$E:$E,'HAM VERİ'!$D:$D,RAPOR3!K$9,'HAM VERİ'!$B:$B,RAPOR3!$H16)</f>
        <v>170</v>
      </c>
      <c r="L16" s="18">
        <f>SUMIFS('HAM VERİ'!$G:$G,'HAM VERİ'!$D:$D,RAPOR3!K$9,'HAM VERİ'!$B:$B,RAPOR3!$H16)</f>
        <v>1445000</v>
      </c>
      <c r="M16" s="18">
        <f>SUMIFS('HAM VERİ'!$E:$E,'HAM VERİ'!$D:$D,RAPOR3!M$9,'HAM VERİ'!$B:$B,RAPOR3!$H16)</f>
        <v>285</v>
      </c>
      <c r="N16" s="18">
        <f>SUMIFS('HAM VERİ'!$G:$G,'HAM VERİ'!$D:$D,RAPOR3!M$9,'HAM VERİ'!$B:$B,RAPOR3!$H16)</f>
        <v>399000</v>
      </c>
      <c r="O16" s="18">
        <f t="shared" si="0"/>
        <v>710</v>
      </c>
      <c r="P16" s="18">
        <f t="shared" si="1"/>
        <v>2162750</v>
      </c>
      <c r="Q16" s="7"/>
      <c r="R16" s="7"/>
      <c r="S16" s="7"/>
      <c r="T16" s="7"/>
      <c r="U16" s="7"/>
      <c r="V16" s="7"/>
      <c r="W16" s="5" t="s">
        <v>2</v>
      </c>
      <c r="X16" s="13">
        <f>SUMIFS('HAM VERİ'!$E:$E,'HAM VERİ'!$I:$I,RAPOR3!$W16,'HAM VERİ'!$B:$B,RAPOR3!$X$11)</f>
        <v>35</v>
      </c>
      <c r="Y16" s="13">
        <f>SUMIFS('HAM VERİ'!$G:$G,'HAM VERİ'!$I:$I,RAPOR3!$W16,'HAM VERİ'!$B:$B,RAPOR3!$X$11)</f>
        <v>102500</v>
      </c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x14ac:dyDescent="0.25">
      <c r="A17" s="7"/>
      <c r="B17" s="7"/>
      <c r="C17" s="7"/>
      <c r="D17" s="7"/>
      <c r="E17" s="7"/>
      <c r="F17" s="7"/>
      <c r="G17" s="7"/>
      <c r="H17" s="10" t="s">
        <v>40</v>
      </c>
      <c r="I17" s="13">
        <f>SUMIFS('HAM VERİ'!$E:$E,'HAM VERİ'!$D:$D,RAPOR3!I$9,'HAM VERİ'!$B:$B,RAPOR3!$H17)</f>
        <v>349</v>
      </c>
      <c r="J17" s="13">
        <f>SUMIFS('HAM VERİ'!$G:$G,'HAM VERİ'!$D:$D,RAPOR3!I$9,'HAM VERİ'!$B:$B,RAPOR3!$H17)</f>
        <v>436250</v>
      </c>
      <c r="K17" s="13">
        <f>SUMIFS('HAM VERİ'!$E:$E,'HAM VERİ'!$D:$D,RAPOR3!K$9,'HAM VERİ'!$B:$B,RAPOR3!$H17)</f>
        <v>274</v>
      </c>
      <c r="L17" s="13">
        <f>SUMIFS('HAM VERİ'!$G:$G,'HAM VERİ'!$D:$D,RAPOR3!K$9,'HAM VERİ'!$B:$B,RAPOR3!$H17)</f>
        <v>2329000</v>
      </c>
      <c r="M17" s="13">
        <f>SUMIFS('HAM VERİ'!$E:$E,'HAM VERİ'!$D:$D,RAPOR3!M$9,'HAM VERİ'!$B:$B,RAPOR3!$H17)</f>
        <v>395</v>
      </c>
      <c r="N17" s="13">
        <f>SUMIFS('HAM VERİ'!$G:$G,'HAM VERİ'!$D:$D,RAPOR3!M$9,'HAM VERİ'!$B:$B,RAPOR3!$H17)</f>
        <v>553000</v>
      </c>
      <c r="O17" s="13">
        <f t="shared" si="0"/>
        <v>1018</v>
      </c>
      <c r="P17" s="13">
        <f t="shared" si="1"/>
        <v>3318250</v>
      </c>
      <c r="Q17" s="7"/>
      <c r="R17" s="7"/>
      <c r="S17" s="7"/>
      <c r="T17" s="7"/>
      <c r="U17" s="7"/>
      <c r="V17" s="7"/>
      <c r="W17" s="5" t="s">
        <v>3</v>
      </c>
      <c r="X17" s="13">
        <f>SUMIFS('HAM VERİ'!$E:$E,'HAM VERİ'!$I:$I,RAPOR3!$W17,'HAM VERİ'!$B:$B,RAPOR3!$X$11)</f>
        <v>78</v>
      </c>
      <c r="Y17" s="13">
        <f>SUMIFS('HAM VERİ'!$G:$G,'HAM VERİ'!$I:$I,RAPOR3!$W17,'HAM VERİ'!$B:$B,RAPOR3!$X$11)</f>
        <v>168000</v>
      </c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x14ac:dyDescent="0.25">
      <c r="A18" s="7"/>
      <c r="B18" s="7"/>
      <c r="C18" s="7"/>
      <c r="D18" s="7"/>
      <c r="E18" s="7"/>
      <c r="F18" s="7"/>
      <c r="G18" s="7"/>
      <c r="H18" s="10" t="s">
        <v>41</v>
      </c>
      <c r="I18" s="18">
        <f>SUMIFS('HAM VERİ'!$E:$E,'HAM VERİ'!$D:$D,RAPOR3!I$9,'HAM VERİ'!$B:$B,RAPOR3!$H18)</f>
        <v>284</v>
      </c>
      <c r="J18" s="18">
        <f>SUMIFS('HAM VERİ'!$G:$G,'HAM VERİ'!$D:$D,RAPOR3!I$9,'HAM VERİ'!$B:$B,RAPOR3!$H18)</f>
        <v>355000</v>
      </c>
      <c r="K18" s="18">
        <f>SUMIFS('HAM VERİ'!$E:$E,'HAM VERİ'!$D:$D,RAPOR3!K$9,'HAM VERİ'!$B:$B,RAPOR3!$H18)</f>
        <v>422</v>
      </c>
      <c r="L18" s="18">
        <f>SUMIFS('HAM VERİ'!$G:$G,'HAM VERİ'!$D:$D,RAPOR3!K$9,'HAM VERİ'!$B:$B,RAPOR3!$H18)</f>
        <v>3587000</v>
      </c>
      <c r="M18" s="18">
        <f>SUMIFS('HAM VERİ'!$E:$E,'HAM VERİ'!$D:$D,RAPOR3!M$9,'HAM VERİ'!$B:$B,RAPOR3!$H18)</f>
        <v>357</v>
      </c>
      <c r="N18" s="18">
        <f>SUMIFS('HAM VERİ'!$G:$G,'HAM VERİ'!$D:$D,RAPOR3!M$9,'HAM VERİ'!$B:$B,RAPOR3!$H18)</f>
        <v>499800</v>
      </c>
      <c r="O18" s="18">
        <f t="shared" si="0"/>
        <v>1063</v>
      </c>
      <c r="P18" s="18">
        <f t="shared" si="1"/>
        <v>4441800</v>
      </c>
      <c r="Q18" s="7"/>
      <c r="R18" s="7"/>
      <c r="S18" s="7"/>
      <c r="T18" s="7"/>
      <c r="U18" s="7"/>
      <c r="V18" s="7"/>
      <c r="W18" s="5" t="s">
        <v>4</v>
      </c>
      <c r="X18" s="13">
        <f>SUMIFS('HAM VERİ'!$E:$E,'HAM VERİ'!$I:$I,RAPOR3!$W18,'HAM VERİ'!$B:$B,RAPOR3!$X$11)</f>
        <v>33</v>
      </c>
      <c r="Y18" s="13">
        <f>SUMIFS('HAM VERİ'!$G:$G,'HAM VERİ'!$I:$I,RAPOR3!$W18,'HAM VERİ'!$B:$B,RAPOR3!$X$11)</f>
        <v>109050</v>
      </c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x14ac:dyDescent="0.25">
      <c r="A19" s="7"/>
      <c r="B19" s="7"/>
      <c r="C19" s="7"/>
      <c r="D19" s="7"/>
      <c r="E19" s="7"/>
      <c r="F19" s="7"/>
      <c r="G19" s="7"/>
      <c r="H19" s="10" t="s">
        <v>42</v>
      </c>
      <c r="I19" s="13">
        <f>SUMIFS('HAM VERİ'!$E:$E,'HAM VERİ'!$D:$D,RAPOR3!I$9,'HAM VERİ'!$B:$B,RAPOR3!$H19)</f>
        <v>338</v>
      </c>
      <c r="J19" s="13">
        <f>SUMIFS('HAM VERİ'!$G:$G,'HAM VERİ'!$D:$D,RAPOR3!I$9,'HAM VERİ'!$B:$B,RAPOR3!$H19)</f>
        <v>422500</v>
      </c>
      <c r="K19" s="13">
        <f>SUMIFS('HAM VERİ'!$E:$E,'HAM VERİ'!$D:$D,RAPOR3!K$9,'HAM VERİ'!$B:$B,RAPOR3!$H19)</f>
        <v>336</v>
      </c>
      <c r="L19" s="13">
        <f>SUMIFS('HAM VERİ'!$G:$G,'HAM VERİ'!$D:$D,RAPOR3!K$9,'HAM VERİ'!$B:$B,RAPOR3!$H19)</f>
        <v>2856000</v>
      </c>
      <c r="M19" s="13">
        <f>SUMIFS('HAM VERİ'!$E:$E,'HAM VERİ'!$D:$D,RAPOR3!M$9,'HAM VERİ'!$B:$B,RAPOR3!$H19)</f>
        <v>447</v>
      </c>
      <c r="N19" s="13">
        <f>SUMIFS('HAM VERİ'!$G:$G,'HAM VERİ'!$D:$D,RAPOR3!M$9,'HAM VERİ'!$B:$B,RAPOR3!$H19)</f>
        <v>625800</v>
      </c>
      <c r="O19" s="13">
        <f t="shared" si="0"/>
        <v>1121</v>
      </c>
      <c r="P19" s="13">
        <f t="shared" si="1"/>
        <v>3904300</v>
      </c>
      <c r="Q19" s="7"/>
      <c r="R19" s="7"/>
      <c r="S19" s="7"/>
      <c r="T19" s="7"/>
      <c r="U19" s="7"/>
      <c r="V19" s="7"/>
      <c r="W19" s="5" t="s">
        <v>5</v>
      </c>
      <c r="X19" s="13">
        <f>SUMIFS('HAM VERİ'!$E:$E,'HAM VERİ'!$I:$I,RAPOR3!$W19,'HAM VERİ'!$B:$B,RAPOR3!$X$11)</f>
        <v>79</v>
      </c>
      <c r="Y19" s="13">
        <f>SUMIFS('HAM VERİ'!$G:$G,'HAM VERİ'!$I:$I,RAPOR3!$W19,'HAM VERİ'!$B:$B,RAPOR3!$X$11)</f>
        <v>225450</v>
      </c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x14ac:dyDescent="0.25">
      <c r="A20" s="7"/>
      <c r="B20" s="7"/>
      <c r="C20" s="7"/>
      <c r="D20" s="7"/>
      <c r="E20" s="7"/>
      <c r="F20" s="7"/>
      <c r="G20" s="7"/>
      <c r="H20" s="10" t="s">
        <v>43</v>
      </c>
      <c r="I20" s="18">
        <f>SUMIFS('HAM VERİ'!$E:$E,'HAM VERİ'!$D:$D,RAPOR3!I$9,'HAM VERİ'!$B:$B,RAPOR3!$H20)</f>
        <v>245</v>
      </c>
      <c r="J20" s="18">
        <f>SUMIFS('HAM VERİ'!$G:$G,'HAM VERİ'!$D:$D,RAPOR3!I$9,'HAM VERİ'!$B:$B,RAPOR3!$H20)</f>
        <v>306250</v>
      </c>
      <c r="K20" s="18">
        <f>SUMIFS('HAM VERİ'!$E:$E,'HAM VERİ'!$D:$D,RAPOR3!K$9,'HAM VERİ'!$B:$B,RAPOR3!$H20)</f>
        <v>392</v>
      </c>
      <c r="L20" s="18">
        <f>SUMIFS('HAM VERİ'!$G:$G,'HAM VERİ'!$D:$D,RAPOR3!K$9,'HAM VERİ'!$B:$B,RAPOR3!$H20)</f>
        <v>3332000</v>
      </c>
      <c r="M20" s="18">
        <f>SUMIFS('HAM VERİ'!$E:$E,'HAM VERİ'!$D:$D,RAPOR3!M$9,'HAM VERİ'!$B:$B,RAPOR3!$H20)</f>
        <v>190</v>
      </c>
      <c r="N20" s="18">
        <f>SUMIFS('HAM VERİ'!$G:$G,'HAM VERİ'!$D:$D,RAPOR3!M$9,'HAM VERİ'!$B:$B,RAPOR3!$H20)</f>
        <v>266000</v>
      </c>
      <c r="O20" s="18">
        <f t="shared" si="0"/>
        <v>827</v>
      </c>
      <c r="P20" s="18">
        <f t="shared" si="1"/>
        <v>3904250</v>
      </c>
      <c r="Q20" s="7"/>
      <c r="R20" s="7"/>
      <c r="S20" s="7"/>
      <c r="T20" s="7"/>
      <c r="U20" s="7"/>
      <c r="V20" s="7"/>
      <c r="W20" s="5" t="s">
        <v>6</v>
      </c>
      <c r="X20" s="13">
        <f>SUMIFS('HAM VERİ'!$E:$E,'HAM VERİ'!$I:$I,RAPOR3!$W20,'HAM VERİ'!$B:$B,RAPOR3!$X$11)</f>
        <v>136</v>
      </c>
      <c r="Y20" s="13">
        <f>SUMIFS('HAM VERİ'!$G:$G,'HAM VERİ'!$I:$I,RAPOR3!$W20,'HAM VERİ'!$B:$B,RAPOR3!$X$11)</f>
        <v>827600</v>
      </c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x14ac:dyDescent="0.25">
      <c r="A21" s="7"/>
      <c r="B21" s="7"/>
      <c r="C21" s="7"/>
      <c r="D21" s="7"/>
      <c r="E21" s="7"/>
      <c r="F21" s="7"/>
      <c r="G21" s="7"/>
      <c r="H21" s="10" t="s">
        <v>44</v>
      </c>
      <c r="I21" s="13">
        <f>SUMIFS('HAM VERİ'!$E:$E,'HAM VERİ'!$D:$D,RAPOR3!I$9,'HAM VERİ'!$B:$B,RAPOR3!$H21)</f>
        <v>281</v>
      </c>
      <c r="J21" s="13">
        <f>SUMIFS('HAM VERİ'!$G:$G,'HAM VERİ'!$D:$D,RAPOR3!I$9,'HAM VERİ'!$B:$B,RAPOR3!$H21)</f>
        <v>351250</v>
      </c>
      <c r="K21" s="13">
        <f>SUMIFS('HAM VERİ'!$E:$E,'HAM VERİ'!$D:$D,RAPOR3!K$9,'HAM VERİ'!$B:$B,RAPOR3!$H21)</f>
        <v>343</v>
      </c>
      <c r="L21" s="13">
        <f>SUMIFS('HAM VERİ'!$G:$G,'HAM VERİ'!$D:$D,RAPOR3!K$9,'HAM VERİ'!$B:$B,RAPOR3!$H21)</f>
        <v>2915500</v>
      </c>
      <c r="M21" s="13">
        <f>SUMIFS('HAM VERİ'!$E:$E,'HAM VERİ'!$D:$D,RAPOR3!M$9,'HAM VERİ'!$B:$B,RAPOR3!$H21)</f>
        <v>450</v>
      </c>
      <c r="N21" s="13">
        <f>SUMIFS('HAM VERİ'!$G:$G,'HAM VERİ'!$D:$D,RAPOR3!M$9,'HAM VERİ'!$B:$B,RAPOR3!$H21)</f>
        <v>630000</v>
      </c>
      <c r="O21" s="13">
        <f t="shared" si="0"/>
        <v>1074</v>
      </c>
      <c r="P21" s="13">
        <f t="shared" si="1"/>
        <v>3896750</v>
      </c>
      <c r="Q21" s="7"/>
      <c r="R21" s="7"/>
      <c r="S21" s="7"/>
      <c r="T21" s="7"/>
      <c r="U21" s="7"/>
      <c r="V21" s="7"/>
      <c r="W21" s="5" t="s">
        <v>7</v>
      </c>
      <c r="X21" s="13">
        <f>SUMIFS('HAM VERİ'!$E:$E,'HAM VERİ'!$I:$I,RAPOR3!$W21,'HAM VERİ'!$B:$B,RAPOR3!$X$11)</f>
        <v>84</v>
      </c>
      <c r="Y21" s="13">
        <f>SUMIFS('HAM VERİ'!$G:$G,'HAM VERİ'!$I:$I,RAPOR3!$W21,'HAM VERİ'!$B:$B,RAPOR3!$X$11)</f>
        <v>374300</v>
      </c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x14ac:dyDescent="0.25">
      <c r="A22" s="7"/>
      <c r="B22" s="7"/>
      <c r="C22" s="7"/>
      <c r="D22" s="7"/>
      <c r="E22" s="7"/>
      <c r="F22" s="7"/>
      <c r="G22" s="7"/>
      <c r="H22" s="10" t="s">
        <v>45</v>
      </c>
      <c r="I22" s="18">
        <f>SUMIFS('HAM VERİ'!$E:$E,'HAM VERİ'!$D:$D,RAPOR3!I$9,'HAM VERİ'!$B:$B,RAPOR3!$H22)</f>
        <v>404</v>
      </c>
      <c r="J22" s="18">
        <f>SUMIFS('HAM VERİ'!$G:$G,'HAM VERİ'!$D:$D,RAPOR3!I$9,'HAM VERİ'!$B:$B,RAPOR3!$H22)</f>
        <v>505000</v>
      </c>
      <c r="K22" s="18">
        <f>SUMIFS('HAM VERİ'!$E:$E,'HAM VERİ'!$D:$D,RAPOR3!K$9,'HAM VERİ'!$B:$B,RAPOR3!$H22)</f>
        <v>396</v>
      </c>
      <c r="L22" s="18">
        <f>SUMIFS('HAM VERİ'!$G:$G,'HAM VERİ'!$D:$D,RAPOR3!K$9,'HAM VERİ'!$B:$B,RAPOR3!$H22)</f>
        <v>3366000</v>
      </c>
      <c r="M22" s="18">
        <f>SUMIFS('HAM VERİ'!$E:$E,'HAM VERİ'!$D:$D,RAPOR3!M$9,'HAM VERİ'!$B:$B,RAPOR3!$H22)</f>
        <v>259</v>
      </c>
      <c r="N22" s="18">
        <f>SUMIFS('HAM VERİ'!$G:$G,'HAM VERİ'!$D:$D,RAPOR3!M$9,'HAM VERİ'!$B:$B,RAPOR3!$H22)</f>
        <v>362600</v>
      </c>
      <c r="O22" s="18">
        <f t="shared" si="0"/>
        <v>1059</v>
      </c>
      <c r="P22" s="18">
        <f t="shared" si="1"/>
        <v>4233600</v>
      </c>
      <c r="Q22" s="7"/>
      <c r="R22" s="7"/>
      <c r="S22" s="7"/>
      <c r="T22" s="7"/>
      <c r="U22" s="7"/>
      <c r="V22" s="7"/>
      <c r="W22" s="5" t="s">
        <v>8</v>
      </c>
      <c r="X22" s="13">
        <f>SUMIFS('HAM VERİ'!$E:$E,'HAM VERİ'!$I:$I,RAPOR3!$W22,'HAM VERİ'!$B:$B,RAPOR3!$X$11)</f>
        <v>136</v>
      </c>
      <c r="Y22" s="13">
        <f>SUMIFS('HAM VERİ'!$G:$G,'HAM VERİ'!$I:$I,RAPOR3!$W22,'HAM VERİ'!$B:$B,RAPOR3!$X$11)</f>
        <v>753000</v>
      </c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x14ac:dyDescent="0.25">
      <c r="A23" s="7"/>
      <c r="B23" s="7"/>
      <c r="C23" s="7"/>
      <c r="D23" s="7"/>
      <c r="E23" s="7"/>
      <c r="F23" s="7"/>
      <c r="G23" s="7"/>
      <c r="H23" s="10" t="s">
        <v>46</v>
      </c>
      <c r="I23" s="13">
        <f>SUMIFS('HAM VERİ'!$E:$E,'HAM VERİ'!$D:$D,RAPOR3!I$9,'HAM VERİ'!$B:$B,RAPOR3!$H23)</f>
        <v>350</v>
      </c>
      <c r="J23" s="13">
        <f>SUMIFS('HAM VERİ'!$G:$G,'HAM VERİ'!$D:$D,RAPOR3!I$9,'HAM VERİ'!$B:$B,RAPOR3!$H23)</f>
        <v>437500</v>
      </c>
      <c r="K23" s="13">
        <f>SUMIFS('HAM VERİ'!$E:$E,'HAM VERİ'!$D:$D,RAPOR3!K$9,'HAM VERİ'!$B:$B,RAPOR3!$H23)</f>
        <v>196</v>
      </c>
      <c r="L23" s="13">
        <f>SUMIFS('HAM VERİ'!$G:$G,'HAM VERİ'!$D:$D,RAPOR3!K$9,'HAM VERİ'!$B:$B,RAPOR3!$H23)</f>
        <v>1666000</v>
      </c>
      <c r="M23" s="13">
        <f>SUMIFS('HAM VERİ'!$E:$E,'HAM VERİ'!$D:$D,RAPOR3!M$9,'HAM VERİ'!$B:$B,RAPOR3!$H23)</f>
        <v>301</v>
      </c>
      <c r="N23" s="13">
        <f>SUMIFS('HAM VERİ'!$G:$G,'HAM VERİ'!$D:$D,RAPOR3!M$9,'HAM VERİ'!$B:$B,RAPOR3!$H23)</f>
        <v>421400</v>
      </c>
      <c r="O23" s="13">
        <f t="shared" si="0"/>
        <v>847</v>
      </c>
      <c r="P23" s="13">
        <f t="shared" si="1"/>
        <v>2524900</v>
      </c>
      <c r="Q23" s="7"/>
      <c r="R23" s="7"/>
      <c r="S23" s="7"/>
      <c r="T23" s="7"/>
      <c r="U23" s="7"/>
      <c r="V23" s="7"/>
      <c r="W23" s="5" t="s">
        <v>9</v>
      </c>
      <c r="X23" s="13">
        <f>SUMIFS('HAM VERİ'!$E:$E,'HAM VERİ'!$I:$I,RAPOR3!$W23,'HAM VERİ'!$B:$B,RAPOR3!$X$11)</f>
        <v>20</v>
      </c>
      <c r="Y23" s="13">
        <f>SUMIFS('HAM VERİ'!$G:$G,'HAM VERİ'!$I:$I,RAPOR3!$W23,'HAM VERİ'!$B:$B,RAPOR3!$X$11)</f>
        <v>62900</v>
      </c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x14ac:dyDescent="0.25">
      <c r="A24" s="7"/>
      <c r="B24" s="7"/>
      <c r="C24" s="7"/>
      <c r="D24" s="7"/>
      <c r="E24" s="7"/>
      <c r="F24" s="7"/>
      <c r="G24" s="7"/>
      <c r="H24" s="10" t="s">
        <v>47</v>
      </c>
      <c r="I24" s="18">
        <f>SUMIFS('HAM VERİ'!$E:$E,'HAM VERİ'!$D:$D,RAPOR3!I$9,'HAM VERİ'!$B:$B,RAPOR3!$H24)</f>
        <v>311</v>
      </c>
      <c r="J24" s="18">
        <f>SUMIFS('HAM VERİ'!$G:$G,'HAM VERİ'!$D:$D,RAPOR3!I$9,'HAM VERİ'!$B:$B,RAPOR3!$H24)</f>
        <v>388750</v>
      </c>
      <c r="K24" s="18">
        <f>SUMIFS('HAM VERİ'!$E:$E,'HAM VERİ'!$D:$D,RAPOR3!K$9,'HAM VERİ'!$B:$B,RAPOR3!$H24)</f>
        <v>154</v>
      </c>
      <c r="L24" s="18">
        <f>SUMIFS('HAM VERİ'!$G:$G,'HAM VERİ'!$D:$D,RAPOR3!K$9,'HAM VERİ'!$B:$B,RAPOR3!$H24)</f>
        <v>1309000</v>
      </c>
      <c r="M24" s="18">
        <f>SUMIFS('HAM VERİ'!$E:$E,'HAM VERİ'!$D:$D,RAPOR3!M$9,'HAM VERİ'!$B:$B,RAPOR3!$H24)</f>
        <v>282</v>
      </c>
      <c r="N24" s="18">
        <f>SUMIFS('HAM VERİ'!$G:$G,'HAM VERİ'!$D:$D,RAPOR3!M$9,'HAM VERİ'!$B:$B,RAPOR3!$H24)</f>
        <v>394800</v>
      </c>
      <c r="O24" s="18">
        <f t="shared" si="0"/>
        <v>747</v>
      </c>
      <c r="P24" s="18">
        <f t="shared" si="1"/>
        <v>2092550</v>
      </c>
      <c r="Q24" s="7"/>
      <c r="R24" s="7"/>
      <c r="S24" s="7"/>
      <c r="T24" s="7"/>
      <c r="U24" s="7"/>
      <c r="V24" s="7"/>
      <c r="W24" s="5" t="s">
        <v>10</v>
      </c>
      <c r="X24" s="13">
        <f>SUMIFS('HAM VERİ'!$E:$E,'HAM VERİ'!$I:$I,RAPOR3!$W24,'HAM VERİ'!$B:$B,RAPOR3!$X$11)</f>
        <v>51</v>
      </c>
      <c r="Y24" s="13">
        <f>SUMIFS('HAM VERİ'!$G:$G,'HAM VERİ'!$I:$I,RAPOR3!$W24,'HAM VERİ'!$B:$B,RAPOR3!$X$11)</f>
        <v>65400</v>
      </c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x14ac:dyDescent="0.25">
      <c r="A25" s="7"/>
      <c r="B25" s="7"/>
      <c r="C25" s="7"/>
      <c r="D25" s="7"/>
      <c r="E25" s="7"/>
      <c r="F25" s="7"/>
      <c r="G25" s="7"/>
      <c r="H25" s="10" t="s">
        <v>48</v>
      </c>
      <c r="I25" s="13">
        <f>SUMIFS('HAM VERİ'!$E:$E,'HAM VERİ'!$D:$D,RAPOR3!I$9,'HAM VERİ'!$B:$B,RAPOR3!$H25)</f>
        <v>194</v>
      </c>
      <c r="J25" s="13">
        <f>SUMIFS('HAM VERİ'!$G:$G,'HAM VERİ'!$D:$D,RAPOR3!I$9,'HAM VERİ'!$B:$B,RAPOR3!$H25)</f>
        <v>242500</v>
      </c>
      <c r="K25" s="13">
        <f>SUMIFS('HAM VERİ'!$E:$E,'HAM VERİ'!$D:$D,RAPOR3!K$9,'HAM VERİ'!$B:$B,RAPOR3!$H25)</f>
        <v>250</v>
      </c>
      <c r="L25" s="13">
        <f>SUMIFS('HAM VERİ'!$G:$G,'HAM VERİ'!$D:$D,RAPOR3!K$9,'HAM VERİ'!$B:$B,RAPOR3!$H25)</f>
        <v>2125000</v>
      </c>
      <c r="M25" s="13">
        <f>SUMIFS('HAM VERİ'!$E:$E,'HAM VERİ'!$D:$D,RAPOR3!M$9,'HAM VERİ'!$B:$B,RAPOR3!$H25)</f>
        <v>257</v>
      </c>
      <c r="N25" s="13">
        <f>SUMIFS('HAM VERİ'!$G:$G,'HAM VERİ'!$D:$D,RAPOR3!M$9,'HAM VERİ'!$B:$B,RAPOR3!$H25)</f>
        <v>359800</v>
      </c>
      <c r="O25" s="13">
        <f t="shared" si="0"/>
        <v>701</v>
      </c>
      <c r="P25" s="13">
        <f t="shared" si="1"/>
        <v>2727300</v>
      </c>
      <c r="Q25" s="7"/>
      <c r="R25" s="7"/>
      <c r="S25" s="7"/>
      <c r="T25" s="7"/>
      <c r="U25" s="7"/>
      <c r="V25" s="7"/>
      <c r="W25" s="5" t="s">
        <v>11</v>
      </c>
      <c r="X25" s="13">
        <f>SUMIFS('HAM VERİ'!$E:$E,'HAM VERİ'!$I:$I,RAPOR3!$W25,'HAM VERİ'!$B:$B,RAPOR3!$X$11)</f>
        <v>35</v>
      </c>
      <c r="Y25" s="13">
        <f>SUMIFS('HAM VERİ'!$G:$G,'HAM VERİ'!$I:$I,RAPOR3!$W25,'HAM VERİ'!$B:$B,RAPOR3!$X$11)</f>
        <v>103550</v>
      </c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x14ac:dyDescent="0.25">
      <c r="A26" s="7"/>
      <c r="B26" s="7"/>
      <c r="C26" s="7"/>
      <c r="D26" s="7"/>
      <c r="E26" s="7"/>
      <c r="F26" s="7"/>
      <c r="G26" s="7"/>
      <c r="H26" s="10" t="s">
        <v>49</v>
      </c>
      <c r="I26" s="18">
        <f>SUMIFS('HAM VERİ'!$E:$E,'HAM VERİ'!$D:$D,RAPOR3!I$9,'HAM VERİ'!$B:$B,RAPOR3!$H26)</f>
        <v>298</v>
      </c>
      <c r="J26" s="18">
        <f>SUMIFS('HAM VERİ'!$G:$G,'HAM VERİ'!$D:$D,RAPOR3!I$9,'HAM VERİ'!$B:$B,RAPOR3!$H26)</f>
        <v>372500</v>
      </c>
      <c r="K26" s="18">
        <f>SUMIFS('HAM VERİ'!$E:$E,'HAM VERİ'!$D:$D,RAPOR3!K$9,'HAM VERİ'!$B:$B,RAPOR3!$H26)</f>
        <v>310</v>
      </c>
      <c r="L26" s="18">
        <f>SUMIFS('HAM VERİ'!$G:$G,'HAM VERİ'!$D:$D,RAPOR3!K$9,'HAM VERİ'!$B:$B,RAPOR3!$H26)</f>
        <v>2635000</v>
      </c>
      <c r="M26" s="18">
        <f>SUMIFS('HAM VERİ'!$E:$E,'HAM VERİ'!$D:$D,RAPOR3!M$9,'HAM VERİ'!$B:$B,RAPOR3!$H26)</f>
        <v>330</v>
      </c>
      <c r="N26" s="18">
        <f>SUMIFS('HAM VERİ'!$G:$G,'HAM VERİ'!$D:$D,RAPOR3!M$9,'HAM VERİ'!$B:$B,RAPOR3!$H26)</f>
        <v>462000</v>
      </c>
      <c r="O26" s="18">
        <f t="shared" si="0"/>
        <v>938</v>
      </c>
      <c r="P26" s="18">
        <f t="shared" si="1"/>
        <v>3469500</v>
      </c>
      <c r="Q26" s="7"/>
      <c r="R26" s="7"/>
      <c r="S26" s="7"/>
      <c r="T26" s="7"/>
      <c r="U26" s="7"/>
      <c r="V26" s="7"/>
      <c r="W26" s="5" t="s">
        <v>12</v>
      </c>
      <c r="X26" s="13">
        <f>SUMIFS('HAM VERİ'!$E:$E,'HAM VERİ'!$I:$I,RAPOR3!$W26,'HAM VERİ'!$B:$B,RAPOR3!$X$11)</f>
        <v>136</v>
      </c>
      <c r="Y26" s="13">
        <f>SUMIFS('HAM VERİ'!$G:$G,'HAM VERİ'!$I:$I,RAPOR3!$W26,'HAM VERİ'!$B:$B,RAPOR3!$X$11)</f>
        <v>916750</v>
      </c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x14ac:dyDescent="0.25">
      <c r="A27" s="7"/>
      <c r="B27" s="7"/>
      <c r="C27" s="7"/>
      <c r="D27" s="7"/>
      <c r="E27" s="7"/>
      <c r="F27" s="7"/>
      <c r="G27" s="7"/>
      <c r="H27" s="10" t="s">
        <v>50</v>
      </c>
      <c r="I27" s="13">
        <f>SUMIFS('HAM VERİ'!$E:$E,'HAM VERİ'!$D:$D,RAPOR3!I$9,'HAM VERİ'!$B:$B,RAPOR3!$H27)</f>
        <v>285</v>
      </c>
      <c r="J27" s="13">
        <f>SUMIFS('HAM VERİ'!$G:$G,'HAM VERİ'!$D:$D,RAPOR3!I$9,'HAM VERİ'!$B:$B,RAPOR3!$H27)</f>
        <v>356250</v>
      </c>
      <c r="K27" s="13">
        <f>SUMIFS('HAM VERİ'!$E:$E,'HAM VERİ'!$D:$D,RAPOR3!K$9,'HAM VERİ'!$B:$B,RAPOR3!$H27)</f>
        <v>396</v>
      </c>
      <c r="L27" s="13">
        <f>SUMIFS('HAM VERİ'!$G:$G,'HAM VERİ'!$D:$D,RAPOR3!K$9,'HAM VERİ'!$B:$B,RAPOR3!$H27)</f>
        <v>3366000</v>
      </c>
      <c r="M27" s="13">
        <f>SUMIFS('HAM VERİ'!$E:$E,'HAM VERİ'!$D:$D,RAPOR3!M$9,'HAM VERİ'!$B:$B,RAPOR3!$H27)</f>
        <v>238</v>
      </c>
      <c r="N27" s="13">
        <f>SUMIFS('HAM VERİ'!$G:$G,'HAM VERİ'!$D:$D,RAPOR3!M$9,'HAM VERİ'!$B:$B,RAPOR3!$H27)</f>
        <v>333200</v>
      </c>
      <c r="O27" s="13">
        <f t="shared" si="0"/>
        <v>919</v>
      </c>
      <c r="P27" s="13">
        <f t="shared" si="1"/>
        <v>4055450</v>
      </c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x14ac:dyDescent="0.25">
      <c r="A28" s="7"/>
      <c r="B28" s="7"/>
      <c r="C28" s="7"/>
      <c r="D28" s="7"/>
      <c r="E28" s="7"/>
      <c r="F28" s="7"/>
      <c r="G28" s="7"/>
      <c r="H28" s="10" t="s">
        <v>51</v>
      </c>
      <c r="I28" s="18">
        <f>SUMIFS('HAM VERİ'!$E:$E,'HAM VERİ'!$D:$D,RAPOR3!I$9,'HAM VERİ'!$B:$B,RAPOR3!$H28)</f>
        <v>281</v>
      </c>
      <c r="J28" s="18">
        <f>SUMIFS('HAM VERİ'!$G:$G,'HAM VERİ'!$D:$D,RAPOR3!I$9,'HAM VERİ'!$B:$B,RAPOR3!$H28)</f>
        <v>351250</v>
      </c>
      <c r="K28" s="18">
        <f>SUMIFS('HAM VERİ'!$E:$E,'HAM VERİ'!$D:$D,RAPOR3!K$9,'HAM VERİ'!$B:$B,RAPOR3!$H28)</f>
        <v>189</v>
      </c>
      <c r="L28" s="18">
        <f>SUMIFS('HAM VERİ'!$G:$G,'HAM VERİ'!$D:$D,RAPOR3!K$9,'HAM VERİ'!$B:$B,RAPOR3!$H28)</f>
        <v>1606500</v>
      </c>
      <c r="M28" s="18">
        <f>SUMIFS('HAM VERİ'!$E:$E,'HAM VERİ'!$D:$D,RAPOR3!M$9,'HAM VERİ'!$B:$B,RAPOR3!$H28)</f>
        <v>183</v>
      </c>
      <c r="N28" s="18">
        <f>SUMIFS('HAM VERİ'!$G:$G,'HAM VERİ'!$D:$D,RAPOR3!M$9,'HAM VERİ'!$B:$B,RAPOR3!$H28)</f>
        <v>256200</v>
      </c>
      <c r="O28" s="18">
        <f t="shared" si="0"/>
        <v>653</v>
      </c>
      <c r="P28" s="18">
        <f t="shared" si="1"/>
        <v>2213950</v>
      </c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x14ac:dyDescent="0.25">
      <c r="A29" s="7"/>
      <c r="B29" s="7"/>
      <c r="C29" s="7"/>
      <c r="D29" s="7"/>
      <c r="E29" s="7"/>
      <c r="F29" s="7"/>
      <c r="G29" s="7"/>
      <c r="H29" s="10" t="s">
        <v>52</v>
      </c>
      <c r="I29" s="13">
        <f>SUMIFS('HAM VERİ'!$E:$E,'HAM VERİ'!$D:$D,RAPOR3!I$9,'HAM VERİ'!$B:$B,RAPOR3!$H29)</f>
        <v>414</v>
      </c>
      <c r="J29" s="13">
        <f>SUMIFS('HAM VERİ'!$G:$G,'HAM VERİ'!$D:$D,RAPOR3!I$9,'HAM VERİ'!$B:$B,RAPOR3!$H29)</f>
        <v>517500</v>
      </c>
      <c r="K29" s="13">
        <f>SUMIFS('HAM VERİ'!$E:$E,'HAM VERİ'!$D:$D,RAPOR3!K$9,'HAM VERİ'!$B:$B,RAPOR3!$H29)</f>
        <v>296</v>
      </c>
      <c r="L29" s="13">
        <f>SUMIFS('HAM VERİ'!$G:$G,'HAM VERİ'!$D:$D,RAPOR3!K$9,'HAM VERİ'!$B:$B,RAPOR3!$H29)</f>
        <v>2516000</v>
      </c>
      <c r="M29" s="13">
        <f>SUMIFS('HAM VERİ'!$E:$E,'HAM VERİ'!$D:$D,RAPOR3!M$9,'HAM VERİ'!$B:$B,RAPOR3!$H29)</f>
        <v>317</v>
      </c>
      <c r="N29" s="13">
        <f>SUMIFS('HAM VERİ'!$G:$G,'HAM VERİ'!$D:$D,RAPOR3!M$9,'HAM VERİ'!$B:$B,RAPOR3!$H29)</f>
        <v>443800</v>
      </c>
      <c r="O29" s="13">
        <f t="shared" si="0"/>
        <v>1027</v>
      </c>
      <c r="P29" s="13">
        <f t="shared" si="1"/>
        <v>3477300</v>
      </c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x14ac:dyDescent="0.25">
      <c r="A30" s="7"/>
      <c r="B30" s="7"/>
      <c r="C30" s="7"/>
      <c r="D30" s="7"/>
      <c r="E30" s="7"/>
      <c r="F30" s="7"/>
      <c r="G30" s="7"/>
      <c r="H30" s="10" t="s">
        <v>53</v>
      </c>
      <c r="I30" s="18">
        <f>SUMIFS('HAM VERİ'!$E:$E,'HAM VERİ'!$D:$D,RAPOR3!I$9,'HAM VERİ'!$B:$B,RAPOR3!$H30)</f>
        <v>359</v>
      </c>
      <c r="J30" s="18">
        <f>SUMIFS('HAM VERİ'!$G:$G,'HAM VERİ'!$D:$D,RAPOR3!I$9,'HAM VERİ'!$B:$B,RAPOR3!$H30)</f>
        <v>448750</v>
      </c>
      <c r="K30" s="18">
        <f>SUMIFS('HAM VERİ'!$E:$E,'HAM VERİ'!$D:$D,RAPOR3!K$9,'HAM VERİ'!$B:$B,RAPOR3!$H30)</f>
        <v>385</v>
      </c>
      <c r="L30" s="18">
        <f>SUMIFS('HAM VERİ'!$G:$G,'HAM VERİ'!$D:$D,RAPOR3!K$9,'HAM VERİ'!$B:$B,RAPOR3!$H30)</f>
        <v>3272500</v>
      </c>
      <c r="M30" s="18">
        <f>SUMIFS('HAM VERİ'!$E:$E,'HAM VERİ'!$D:$D,RAPOR3!M$9,'HAM VERİ'!$B:$B,RAPOR3!$H30)</f>
        <v>353</v>
      </c>
      <c r="N30" s="18">
        <f>SUMIFS('HAM VERİ'!$G:$G,'HAM VERİ'!$D:$D,RAPOR3!M$9,'HAM VERİ'!$B:$B,RAPOR3!$H30)</f>
        <v>494200</v>
      </c>
      <c r="O30" s="18">
        <f t="shared" si="0"/>
        <v>1097</v>
      </c>
      <c r="P30" s="18">
        <f t="shared" si="1"/>
        <v>4215450</v>
      </c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x14ac:dyDescent="0.25">
      <c r="A31" s="7"/>
      <c r="B31" s="7"/>
      <c r="C31" s="7"/>
      <c r="D31" s="7"/>
      <c r="E31" s="7"/>
      <c r="F31" s="7"/>
      <c r="G31" s="7"/>
      <c r="H31" s="10" t="s">
        <v>54</v>
      </c>
      <c r="I31" s="13">
        <f>SUMIFS('HAM VERİ'!$E:$E,'HAM VERİ'!$D:$D,RAPOR3!I$9,'HAM VERİ'!$B:$B,RAPOR3!$H31)</f>
        <v>278</v>
      </c>
      <c r="J31" s="13">
        <f>SUMIFS('HAM VERİ'!$G:$G,'HAM VERİ'!$D:$D,RAPOR3!I$9,'HAM VERİ'!$B:$B,RAPOR3!$H31)</f>
        <v>347500</v>
      </c>
      <c r="K31" s="13">
        <f>SUMIFS('HAM VERİ'!$E:$E,'HAM VERİ'!$D:$D,RAPOR3!K$9,'HAM VERİ'!$B:$B,RAPOR3!$H31)</f>
        <v>163</v>
      </c>
      <c r="L31" s="13">
        <f>SUMIFS('HAM VERİ'!$G:$G,'HAM VERİ'!$D:$D,RAPOR3!K$9,'HAM VERİ'!$B:$B,RAPOR3!$H31)</f>
        <v>1385500</v>
      </c>
      <c r="M31" s="13">
        <f>SUMIFS('HAM VERİ'!$E:$E,'HAM VERİ'!$D:$D,RAPOR3!M$9,'HAM VERİ'!$B:$B,RAPOR3!$H31)</f>
        <v>320</v>
      </c>
      <c r="N31" s="13">
        <f>SUMIFS('HAM VERİ'!$G:$G,'HAM VERİ'!$D:$D,RAPOR3!M$9,'HAM VERİ'!$B:$B,RAPOR3!$H31)</f>
        <v>448000</v>
      </c>
      <c r="O31" s="13">
        <f t="shared" si="0"/>
        <v>761</v>
      </c>
      <c r="P31" s="13">
        <f t="shared" si="1"/>
        <v>2181000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x14ac:dyDescent="0.25">
      <c r="A32" s="7"/>
      <c r="B32" s="7"/>
      <c r="C32" s="7"/>
      <c r="D32" s="7"/>
      <c r="E32" s="7"/>
      <c r="F32" s="7"/>
      <c r="G32" s="7"/>
      <c r="H32" s="10" t="s">
        <v>55</v>
      </c>
      <c r="I32" s="18">
        <f>SUMIFS('HAM VERİ'!$E:$E,'HAM VERİ'!$D:$D,RAPOR3!I$9,'HAM VERİ'!$B:$B,RAPOR3!$H32)</f>
        <v>265</v>
      </c>
      <c r="J32" s="18">
        <f>SUMIFS('HAM VERİ'!$G:$G,'HAM VERİ'!$D:$D,RAPOR3!I$9,'HAM VERİ'!$B:$B,RAPOR3!$H32)</f>
        <v>331250</v>
      </c>
      <c r="K32" s="18">
        <f>SUMIFS('HAM VERİ'!$E:$E,'HAM VERİ'!$D:$D,RAPOR3!K$9,'HAM VERİ'!$B:$B,RAPOR3!$H32)</f>
        <v>355</v>
      </c>
      <c r="L32" s="18">
        <f>SUMIFS('HAM VERİ'!$G:$G,'HAM VERİ'!$D:$D,RAPOR3!K$9,'HAM VERİ'!$B:$B,RAPOR3!$H32)</f>
        <v>3017500</v>
      </c>
      <c r="M32" s="18">
        <f>SUMIFS('HAM VERİ'!$E:$E,'HAM VERİ'!$D:$D,RAPOR3!M$9,'HAM VERİ'!$B:$B,RAPOR3!$H32)</f>
        <v>324</v>
      </c>
      <c r="N32" s="18">
        <f>SUMIFS('HAM VERİ'!$G:$G,'HAM VERİ'!$D:$D,RAPOR3!M$9,'HAM VERİ'!$B:$B,RAPOR3!$H32)</f>
        <v>453600</v>
      </c>
      <c r="O32" s="18">
        <f t="shared" si="0"/>
        <v>944</v>
      </c>
      <c r="P32" s="18">
        <f t="shared" si="1"/>
        <v>3802350</v>
      </c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x14ac:dyDescent="0.25">
      <c r="A33" s="7"/>
      <c r="B33" s="7"/>
      <c r="C33" s="7"/>
      <c r="D33" s="7"/>
      <c r="E33" s="7"/>
      <c r="F33" s="7"/>
      <c r="G33" s="7"/>
      <c r="H33" s="16" t="s">
        <v>92</v>
      </c>
      <c r="I33" s="15">
        <f>SUM(I11:I32)</f>
        <v>6885</v>
      </c>
      <c r="J33" s="15">
        <f t="shared" ref="J33:P33" si="2">SUM(J11:J32)</f>
        <v>8606250</v>
      </c>
      <c r="K33" s="15">
        <f t="shared" si="2"/>
        <v>6511</v>
      </c>
      <c r="L33" s="15">
        <f t="shared" si="2"/>
        <v>55343500</v>
      </c>
      <c r="M33" s="15">
        <f t="shared" si="2"/>
        <v>6480</v>
      </c>
      <c r="N33" s="15">
        <f t="shared" si="2"/>
        <v>9072000</v>
      </c>
      <c r="O33" s="15">
        <f t="shared" si="2"/>
        <v>19876</v>
      </c>
      <c r="P33" s="15">
        <f t="shared" si="2"/>
        <v>73021750</v>
      </c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x14ac:dyDescent="0.25">
      <c r="A34" s="7"/>
      <c r="B34" s="7"/>
      <c r="C34" s="7"/>
      <c r="D34" s="7"/>
      <c r="E34" s="7"/>
      <c r="F34" s="7"/>
      <c r="G34" s="7"/>
      <c r="H34" s="16" t="s">
        <v>93</v>
      </c>
      <c r="I34" s="15">
        <f>AVERAGE(I11:I32)</f>
        <v>312.95454545454544</v>
      </c>
      <c r="J34" s="15">
        <f t="shared" ref="J34:P34" si="3">AVERAGE(J11:J32)</f>
        <v>391193.18181818182</v>
      </c>
      <c r="K34" s="15">
        <f t="shared" si="3"/>
        <v>295.95454545454544</v>
      </c>
      <c r="L34" s="15">
        <f t="shared" si="3"/>
        <v>2515613.6363636362</v>
      </c>
      <c r="M34" s="15">
        <f t="shared" si="3"/>
        <v>294.54545454545456</v>
      </c>
      <c r="N34" s="15">
        <f t="shared" si="3"/>
        <v>412363.63636363635</v>
      </c>
      <c r="O34" s="15">
        <f t="shared" si="3"/>
        <v>903.4545454545455</v>
      </c>
      <c r="P34" s="15">
        <f t="shared" si="3"/>
        <v>3319170.4545454546</v>
      </c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</sheetData>
  <mergeCells count="5">
    <mergeCell ref="H9:H10"/>
    <mergeCell ref="I9:J9"/>
    <mergeCell ref="K9:L9"/>
    <mergeCell ref="M9:N9"/>
    <mergeCell ref="O9:P9"/>
  </mergeCells>
  <conditionalFormatting sqref="H11:P32">
    <cfRule type="expression" dxfId="5" priority="2">
      <formula>$H11=$X$11</formula>
    </cfRule>
  </conditionalFormatting>
  <conditionalFormatting sqref="X15:Y26">
    <cfRule type="expression" dxfId="4" priority="1">
      <formula>$H15=$X$11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6"/>
  <dimension ref="A1:AN58"/>
  <sheetViews>
    <sheetView showGridLines="0" zoomScale="80" zoomScaleNormal="80" workbookViewId="0">
      <selection activeCell="R28" sqref="R28"/>
    </sheetView>
  </sheetViews>
  <sheetFormatPr defaultRowHeight="15" x14ac:dyDescent="0.25"/>
  <cols>
    <col min="16" max="16" width="12" bestFit="1" customWidth="1"/>
    <col min="20" max="20" width="9" customWidth="1"/>
    <col min="21" max="21" width="11.5703125" customWidth="1"/>
    <col min="22" max="22" width="8.28515625" customWidth="1"/>
    <col min="29" max="29" width="10.28515625" customWidth="1"/>
    <col min="30" max="30" width="11.28515625" customWidth="1"/>
    <col min="34" max="34" width="12" customWidth="1"/>
    <col min="35" max="35" width="12.140625" customWidth="1"/>
  </cols>
  <sheetData>
    <row r="1" spans="1:40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</row>
    <row r="2" spans="1:40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</row>
    <row r="3" spans="1:40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</row>
    <row r="4" spans="1:40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</row>
    <row r="5" spans="1:40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28"/>
      <c r="Y5" s="28"/>
      <c r="Z5" s="28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</row>
    <row r="6" spans="1:40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</row>
    <row r="7" spans="1:40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</row>
    <row r="8" spans="1:40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</row>
    <row r="9" spans="1:40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26" t="s">
        <v>1</v>
      </c>
      <c r="W9" s="26" t="s">
        <v>2</v>
      </c>
      <c r="X9" s="26" t="s">
        <v>3</v>
      </c>
      <c r="Y9" s="26" t="s">
        <v>4</v>
      </c>
      <c r="Z9" s="26" t="s">
        <v>5</v>
      </c>
      <c r="AA9" s="26" t="s">
        <v>6</v>
      </c>
      <c r="AB9" s="26" t="s">
        <v>7</v>
      </c>
      <c r="AC9" s="26" t="s">
        <v>8</v>
      </c>
      <c r="AD9" s="26" t="s">
        <v>9</v>
      </c>
      <c r="AE9" s="26" t="s">
        <v>10</v>
      </c>
      <c r="AF9" s="26" t="s">
        <v>11</v>
      </c>
      <c r="AG9" s="26" t="s">
        <v>12</v>
      </c>
      <c r="AH9" s="26" t="s">
        <v>92</v>
      </c>
      <c r="AI9" s="7"/>
      <c r="AJ9" s="7"/>
      <c r="AK9" s="7"/>
      <c r="AL9" s="7"/>
      <c r="AM9" s="7"/>
      <c r="AN9" s="7"/>
    </row>
    <row r="10" spans="1:40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28">
        <v>1</v>
      </c>
      <c r="S10" s="36" t="s">
        <v>82</v>
      </c>
      <c r="T10" s="26" t="s">
        <v>89</v>
      </c>
      <c r="U10" s="31" t="str">
        <f>IFERROR(HYPERLINK(mouseover(R10)),"e")</f>
        <v>e</v>
      </c>
      <c r="V10" s="13">
        <f>SUMIFS('HAM VERİ'!$E:$E,'HAM VERİ'!$I:$I,RAPOR4!V$9,'HAM VERİ'!$C:$C,RAPOR4!$P$11,'HAM VERİ'!$D:$D,RAPOR4!$S10)</f>
        <v>1</v>
      </c>
      <c r="W10" s="13">
        <f>SUMIFS('HAM VERİ'!$E:$E,'HAM VERİ'!$I:$I,RAPOR4!W$9,'HAM VERİ'!$C:$C,RAPOR4!$P$11,'HAM VERİ'!$D:$D,RAPOR4!$S10)</f>
        <v>8</v>
      </c>
      <c r="X10" s="13">
        <f>SUMIFS('HAM VERİ'!$E:$E,'HAM VERİ'!$I:$I,RAPOR4!X$9,'HAM VERİ'!$C:$C,RAPOR4!$P$11,'HAM VERİ'!$D:$D,RAPOR4!$S10)</f>
        <v>3</v>
      </c>
      <c r="Y10" s="13">
        <f>SUMIFS('HAM VERİ'!$E:$E,'HAM VERİ'!$I:$I,RAPOR4!Y$9,'HAM VERİ'!$C:$C,RAPOR4!$P$11,'HAM VERİ'!$D:$D,RAPOR4!$S10)</f>
        <v>113</v>
      </c>
      <c r="Z10" s="13">
        <f>SUMIFS('HAM VERİ'!$E:$E,'HAM VERİ'!$I:$I,RAPOR4!Z$9,'HAM VERİ'!$C:$C,RAPOR4!$P$11,'HAM VERİ'!$D:$D,RAPOR4!$S10)</f>
        <v>18</v>
      </c>
      <c r="AA10" s="13">
        <f>SUMIFS('HAM VERİ'!$E:$E,'HAM VERİ'!$I:$I,RAPOR4!AA$9,'HAM VERİ'!$C:$C,RAPOR4!$P$11,'HAM VERİ'!$D:$D,RAPOR4!$S10)</f>
        <v>64</v>
      </c>
      <c r="AB10" s="13">
        <f>SUMIFS('HAM VERİ'!$E:$E,'HAM VERİ'!$I:$I,RAPOR4!AB$9,'HAM VERİ'!$C:$C,RAPOR4!$P$11,'HAM VERİ'!$D:$D,RAPOR4!$S10)</f>
        <v>55</v>
      </c>
      <c r="AC10" s="13">
        <f>SUMIFS('HAM VERİ'!$E:$E,'HAM VERİ'!$I:$I,RAPOR4!AC$9,'HAM VERİ'!$C:$C,RAPOR4!$P$11,'HAM VERİ'!$D:$D,RAPOR4!$S10)</f>
        <v>25</v>
      </c>
      <c r="AD10" s="13">
        <f>SUMIFS('HAM VERİ'!$E:$E,'HAM VERİ'!$I:$I,RAPOR4!AD$9,'HAM VERİ'!$C:$C,RAPOR4!$P$11,'HAM VERİ'!$D:$D,RAPOR4!$S10)</f>
        <v>27</v>
      </c>
      <c r="AE10" s="13">
        <f>SUMIFS('HAM VERİ'!$E:$E,'HAM VERİ'!$I:$I,RAPOR4!AE$9,'HAM VERİ'!$C:$C,RAPOR4!$P$11,'HAM VERİ'!$D:$D,RAPOR4!$S10)</f>
        <v>3</v>
      </c>
      <c r="AF10" s="13">
        <f>SUMIFS('HAM VERİ'!$E:$E,'HAM VERİ'!$I:$I,RAPOR4!AF$9,'HAM VERİ'!$C:$C,RAPOR4!$P$11,'HAM VERİ'!$D:$D,RAPOR4!$S10)</f>
        <v>16</v>
      </c>
      <c r="AG10" s="13">
        <f>SUMIFS('HAM VERİ'!$E:$E,'HAM VERİ'!$I:$I,RAPOR4!AG$9,'HAM VERİ'!$C:$C,RAPOR4!$P$11,'HAM VERİ'!$D:$D,RAPOR4!$S10)</f>
        <v>71</v>
      </c>
      <c r="AH10" s="27">
        <f>SUM(V10:AF10)</f>
        <v>333</v>
      </c>
      <c r="AI10" s="7"/>
      <c r="AJ10" s="7"/>
      <c r="AK10" s="7"/>
      <c r="AL10" s="7"/>
      <c r="AM10" s="7"/>
      <c r="AN10" s="7"/>
    </row>
    <row r="11" spans="1:40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 t="s">
        <v>16</v>
      </c>
      <c r="O11" s="7" t="s">
        <v>45</v>
      </c>
      <c r="P11" s="7" t="s">
        <v>70</v>
      </c>
      <c r="Q11" s="7"/>
      <c r="R11" s="28">
        <v>2</v>
      </c>
      <c r="S11" s="36"/>
      <c r="T11" s="25" t="s">
        <v>90</v>
      </c>
      <c r="U11" s="31" t="str">
        <f t="shared" ref="U11:U17" si="0">IFERROR(HYPERLINK(mouseover(R11)),"e")</f>
        <v>e</v>
      </c>
      <c r="V11" s="13">
        <f>SUMIFS('HAM VERİ'!$G:$G,'HAM VERİ'!$I:$I,RAPOR4!V$9,'HAM VERİ'!$C:$C,RAPOR4!$P$11,'HAM VERİ'!$D:$D,RAPOR4!$S10)</f>
        <v>1250</v>
      </c>
      <c r="W11" s="13">
        <f>SUMIFS('HAM VERİ'!$G:$G,'HAM VERİ'!$I:$I,RAPOR4!W$9,'HAM VERİ'!$C:$C,RAPOR4!$P$11,'HAM VERİ'!$D:$D,RAPOR4!$S10)</f>
        <v>10000</v>
      </c>
      <c r="X11" s="13">
        <f>SUMIFS('HAM VERİ'!$G:$G,'HAM VERİ'!$I:$I,RAPOR4!X$9,'HAM VERİ'!$C:$C,RAPOR4!$P$11,'HAM VERİ'!$D:$D,RAPOR4!$S10)</f>
        <v>3750</v>
      </c>
      <c r="Y11" s="13">
        <f>SUMIFS('HAM VERİ'!$G:$G,'HAM VERİ'!$I:$I,RAPOR4!Y$9,'HAM VERİ'!$C:$C,RAPOR4!$P$11,'HAM VERİ'!$D:$D,RAPOR4!$S10)</f>
        <v>141250</v>
      </c>
      <c r="Z11" s="13">
        <f>SUMIFS('HAM VERİ'!$G:$G,'HAM VERİ'!$I:$I,RAPOR4!Z$9,'HAM VERİ'!$C:$C,RAPOR4!$P$11,'HAM VERİ'!$D:$D,RAPOR4!$S10)</f>
        <v>22500</v>
      </c>
      <c r="AA11" s="13">
        <f>SUMIFS('HAM VERİ'!$G:$G,'HAM VERİ'!$I:$I,RAPOR4!AA$9,'HAM VERİ'!$C:$C,RAPOR4!$P$11,'HAM VERİ'!$D:$D,RAPOR4!$S10)</f>
        <v>80000</v>
      </c>
      <c r="AB11" s="13">
        <f>SUMIFS('HAM VERİ'!$G:$G,'HAM VERİ'!$I:$I,RAPOR4!AB$9,'HAM VERİ'!$C:$C,RAPOR4!$P$11,'HAM VERİ'!$D:$D,RAPOR4!$S10)</f>
        <v>68750</v>
      </c>
      <c r="AC11" s="13">
        <f>SUMIFS('HAM VERİ'!$G:$G,'HAM VERİ'!$I:$I,RAPOR4!AC$9,'HAM VERİ'!$C:$C,RAPOR4!$P$11,'HAM VERİ'!$D:$D,RAPOR4!$S10)</f>
        <v>31250</v>
      </c>
      <c r="AD11" s="13">
        <f>SUMIFS('HAM VERİ'!$G:$G,'HAM VERİ'!$I:$I,RAPOR4!AD$9,'HAM VERİ'!$C:$C,RAPOR4!$P$11,'HAM VERİ'!$D:$D,RAPOR4!$S10)</f>
        <v>33750</v>
      </c>
      <c r="AE11" s="13">
        <f>SUMIFS('HAM VERİ'!$G:$G,'HAM VERİ'!$I:$I,RAPOR4!AE$9,'HAM VERİ'!$C:$C,RAPOR4!$P$11,'HAM VERİ'!$D:$D,RAPOR4!$S10)</f>
        <v>3750</v>
      </c>
      <c r="AF11" s="13">
        <f>SUMIFS('HAM VERİ'!$G:$G,'HAM VERİ'!$I:$I,RAPOR4!AF$9,'HAM VERİ'!$C:$C,RAPOR4!$P$11,'HAM VERİ'!$D:$D,RAPOR4!$S10)</f>
        <v>20000</v>
      </c>
      <c r="AG11" s="13">
        <f>SUMIFS('HAM VERİ'!$G:$G,'HAM VERİ'!$I:$I,RAPOR4!AG$9,'HAM VERİ'!$C:$C,RAPOR4!$P$11,'HAM VERİ'!$D:$D,RAPOR4!$S10)</f>
        <v>88750</v>
      </c>
      <c r="AH11" s="27">
        <f t="shared" ref="AH11:AH17" si="1">SUM(V11:AF11)</f>
        <v>416250</v>
      </c>
      <c r="AI11" s="7"/>
      <c r="AJ11" s="7"/>
      <c r="AK11" s="7"/>
      <c r="AL11" s="7"/>
      <c r="AM11" s="7"/>
      <c r="AN11" s="7"/>
    </row>
    <row r="12" spans="1:40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 t="str">
        <f ca="1">OFFSET(SATIŞÇILAR!$A$1,MATCH(RAPOR4!$N$11,SATIŞÇILAR!$A$2:$A$23,0),1,COUNTIFS(SATIŞÇILAR!$A$2:$A$23,RAPOR4!$N$11),1)</f>
        <v>MALATYA</v>
      </c>
      <c r="O12" s="7" t="str">
        <f ca="1">OFFSET(SATIŞÇILAR!$A$1,MATCH(RAPOR4!$O$11,SATIŞÇILAR!$B$2:$B$23,0),2,1,1)</f>
        <v>HÜSEYİN ARSLAN</v>
      </c>
      <c r="P12" s="7">
        <v>8</v>
      </c>
      <c r="Q12" s="7"/>
      <c r="R12" s="28">
        <v>3</v>
      </c>
      <c r="S12" s="36" t="s">
        <v>83</v>
      </c>
      <c r="T12" s="25" t="s">
        <v>89</v>
      </c>
      <c r="U12" s="31" t="str">
        <f t="shared" si="0"/>
        <v>e</v>
      </c>
      <c r="V12" s="13">
        <f>SUMIFS('HAM VERİ'!$E:$E,'HAM VERİ'!$I:$I,RAPOR4!V$9,'HAM VERİ'!$C:$C,RAPOR4!$P$11,'HAM VERİ'!$D:$D,RAPOR4!$S12)</f>
        <v>3</v>
      </c>
      <c r="W12" s="13">
        <f>SUMIFS('HAM VERİ'!$E:$E,'HAM VERİ'!$I:$I,RAPOR4!W$9,'HAM VERİ'!$C:$C,RAPOR4!$P$11,'HAM VERİ'!$D:$D,RAPOR4!$S12)</f>
        <v>34</v>
      </c>
      <c r="X12" s="13">
        <f>SUMIFS('HAM VERİ'!$E:$E,'HAM VERİ'!$I:$I,RAPOR4!X$9,'HAM VERİ'!$C:$C,RAPOR4!$P$11,'HAM VERİ'!$D:$D,RAPOR4!$S12)</f>
        <v>10</v>
      </c>
      <c r="Y12" s="13">
        <f>SUMIFS('HAM VERİ'!$E:$E,'HAM VERİ'!$I:$I,RAPOR4!Y$9,'HAM VERİ'!$C:$C,RAPOR4!$P$11,'HAM VERİ'!$D:$D,RAPOR4!$S12)</f>
        <v>79</v>
      </c>
      <c r="Z12" s="13">
        <f>SUMIFS('HAM VERİ'!$E:$E,'HAM VERİ'!$I:$I,RAPOR4!Z$9,'HAM VERİ'!$C:$C,RAPOR4!$P$11,'HAM VERİ'!$D:$D,RAPOR4!$S12)</f>
        <v>15</v>
      </c>
      <c r="AA12" s="13">
        <f>SUMIFS('HAM VERİ'!$E:$E,'HAM VERİ'!$I:$I,RAPOR4!AA$9,'HAM VERİ'!$C:$C,RAPOR4!$P$11,'HAM VERİ'!$D:$D,RAPOR4!$S12)</f>
        <v>40</v>
      </c>
      <c r="AB12" s="13">
        <f>SUMIFS('HAM VERİ'!$E:$E,'HAM VERİ'!$I:$I,RAPOR4!AB$9,'HAM VERİ'!$C:$C,RAPOR4!$P$11,'HAM VERİ'!$D:$D,RAPOR4!$S12)</f>
        <v>25</v>
      </c>
      <c r="AC12" s="13">
        <f>SUMIFS('HAM VERİ'!$E:$E,'HAM VERİ'!$I:$I,RAPOR4!AC$9,'HAM VERİ'!$C:$C,RAPOR4!$P$11,'HAM VERİ'!$D:$D,RAPOR4!$S12)</f>
        <v>47</v>
      </c>
      <c r="AD12" s="13">
        <f>SUMIFS('HAM VERİ'!$E:$E,'HAM VERİ'!$I:$I,RAPOR4!AD$9,'HAM VERİ'!$C:$C,RAPOR4!$P$11,'HAM VERİ'!$D:$D,RAPOR4!$S12)</f>
        <v>14</v>
      </c>
      <c r="AE12" s="13">
        <f>SUMIFS('HAM VERİ'!$E:$E,'HAM VERİ'!$I:$I,RAPOR4!AE$9,'HAM VERİ'!$C:$C,RAPOR4!$P$11,'HAM VERİ'!$D:$D,RAPOR4!$S12)</f>
        <v>38</v>
      </c>
      <c r="AF12" s="13">
        <f>SUMIFS('HAM VERİ'!$E:$E,'HAM VERİ'!$I:$I,RAPOR4!AF$9,'HAM VERİ'!$C:$C,RAPOR4!$P$11,'HAM VERİ'!$D:$D,RAPOR4!$S12)</f>
        <v>57</v>
      </c>
      <c r="AG12" s="13">
        <f>SUMIFS('HAM VERİ'!$E:$E,'HAM VERİ'!$I:$I,RAPOR4!AG$9,'HAM VERİ'!$C:$C,RAPOR4!$P$11,'HAM VERİ'!$D:$D,RAPOR4!$S12)</f>
        <v>34</v>
      </c>
      <c r="AH12" s="27">
        <f t="shared" si="1"/>
        <v>362</v>
      </c>
      <c r="AI12" s="7"/>
      <c r="AJ12" s="7"/>
      <c r="AK12" s="7"/>
      <c r="AL12" s="7"/>
      <c r="AM12" s="7"/>
      <c r="AN12" s="7"/>
    </row>
    <row r="13" spans="1:40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28">
        <v>4</v>
      </c>
      <c r="S13" s="36"/>
      <c r="T13" s="25" t="s">
        <v>90</v>
      </c>
      <c r="U13" s="31" t="str">
        <f t="shared" si="0"/>
        <v>e</v>
      </c>
      <c r="V13" s="13">
        <f>SUMIFS('HAM VERİ'!$G:$G,'HAM VERİ'!$I:$I,RAPOR4!V$9,'HAM VERİ'!$C:$C,RAPOR4!$P$11,'HAM VERİ'!$D:$D,RAPOR4!$S12)</f>
        <v>25500</v>
      </c>
      <c r="W13" s="13">
        <f>SUMIFS('HAM VERİ'!$G:$G,'HAM VERİ'!$I:$I,RAPOR4!W$9,'HAM VERİ'!$C:$C,RAPOR4!$P$11,'HAM VERİ'!$D:$D,RAPOR4!$S12)</f>
        <v>289000</v>
      </c>
      <c r="X13" s="13">
        <f>SUMIFS('HAM VERİ'!$G:$G,'HAM VERİ'!$I:$I,RAPOR4!X$9,'HAM VERİ'!$C:$C,RAPOR4!$P$11,'HAM VERİ'!$D:$D,RAPOR4!$S12)</f>
        <v>85000</v>
      </c>
      <c r="Y13" s="13">
        <f>SUMIFS('HAM VERİ'!$G:$G,'HAM VERİ'!$I:$I,RAPOR4!Y$9,'HAM VERİ'!$C:$C,RAPOR4!$P$11,'HAM VERİ'!$D:$D,RAPOR4!$S12)</f>
        <v>671500</v>
      </c>
      <c r="Z13" s="13">
        <f>SUMIFS('HAM VERİ'!$G:$G,'HAM VERİ'!$I:$I,RAPOR4!Z$9,'HAM VERİ'!$C:$C,RAPOR4!$P$11,'HAM VERİ'!$D:$D,RAPOR4!$S12)</f>
        <v>127500</v>
      </c>
      <c r="AA13" s="13">
        <f>SUMIFS('HAM VERİ'!$G:$G,'HAM VERİ'!$I:$I,RAPOR4!AA$9,'HAM VERİ'!$C:$C,RAPOR4!$P$11,'HAM VERİ'!$D:$D,RAPOR4!$S12)</f>
        <v>340000</v>
      </c>
      <c r="AB13" s="13">
        <f>SUMIFS('HAM VERİ'!$G:$G,'HAM VERİ'!$I:$I,RAPOR4!AB$9,'HAM VERİ'!$C:$C,RAPOR4!$P$11,'HAM VERİ'!$D:$D,RAPOR4!$S12)</f>
        <v>212500</v>
      </c>
      <c r="AC13" s="13">
        <f>SUMIFS('HAM VERİ'!$G:$G,'HAM VERİ'!$I:$I,RAPOR4!AC$9,'HAM VERİ'!$C:$C,RAPOR4!$P$11,'HAM VERİ'!$D:$D,RAPOR4!$S12)</f>
        <v>399500</v>
      </c>
      <c r="AD13" s="13">
        <f>SUMIFS('HAM VERİ'!$G:$G,'HAM VERİ'!$I:$I,RAPOR4!AD$9,'HAM VERİ'!$C:$C,RAPOR4!$P$11,'HAM VERİ'!$D:$D,RAPOR4!$S12)</f>
        <v>119000</v>
      </c>
      <c r="AE13" s="13">
        <f>SUMIFS('HAM VERİ'!$G:$G,'HAM VERİ'!$I:$I,RAPOR4!AE$9,'HAM VERİ'!$C:$C,RAPOR4!$P$11,'HAM VERİ'!$D:$D,RAPOR4!$S12)</f>
        <v>323000</v>
      </c>
      <c r="AF13" s="13">
        <f>SUMIFS('HAM VERİ'!$G:$G,'HAM VERİ'!$I:$I,RAPOR4!AF$9,'HAM VERİ'!$C:$C,RAPOR4!$P$11,'HAM VERİ'!$D:$D,RAPOR4!$S12)</f>
        <v>484500</v>
      </c>
      <c r="AG13" s="13">
        <f>SUMIFS('HAM VERİ'!$G:$G,'HAM VERİ'!$I:$I,RAPOR4!AG$9,'HAM VERİ'!$C:$C,RAPOR4!$P$11,'HAM VERİ'!$D:$D,RAPOR4!$S12)</f>
        <v>289000</v>
      </c>
      <c r="AH13" s="27">
        <f t="shared" si="1"/>
        <v>3077000</v>
      </c>
      <c r="AI13" s="7"/>
      <c r="AJ13" s="7"/>
      <c r="AK13" s="7"/>
      <c r="AL13" s="7"/>
      <c r="AM13" s="7"/>
      <c r="AN13" s="7"/>
    </row>
    <row r="14" spans="1:40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28">
        <v>5</v>
      </c>
      <c r="S14" s="36" t="s">
        <v>84</v>
      </c>
      <c r="T14" s="25" t="s">
        <v>89</v>
      </c>
      <c r="U14" s="31" t="str">
        <f t="shared" si="0"/>
        <v>e</v>
      </c>
      <c r="V14" s="13">
        <f>SUMIFS('HAM VERİ'!$E:$E,'HAM VERİ'!$I:$I,RAPOR4!V$9,'HAM VERİ'!$C:$C,RAPOR4!$P$11,'HAM VERİ'!$D:$D,RAPOR4!$S14)</f>
        <v>2</v>
      </c>
      <c r="W14" s="13">
        <f>SUMIFS('HAM VERİ'!$E:$E,'HAM VERİ'!$I:$I,RAPOR4!W$9,'HAM VERİ'!$C:$C,RAPOR4!$P$11,'HAM VERİ'!$D:$D,RAPOR4!$S14)</f>
        <v>53</v>
      </c>
      <c r="X14" s="13">
        <f>SUMIFS('HAM VERİ'!$E:$E,'HAM VERİ'!$I:$I,RAPOR4!X$9,'HAM VERİ'!$C:$C,RAPOR4!$P$11,'HAM VERİ'!$D:$D,RAPOR4!$S14)</f>
        <v>3</v>
      </c>
      <c r="Y14" s="13">
        <f>SUMIFS('HAM VERİ'!$E:$E,'HAM VERİ'!$I:$I,RAPOR4!Y$9,'HAM VERİ'!$C:$C,RAPOR4!$P$11,'HAM VERİ'!$D:$D,RAPOR4!$S14)</f>
        <v>72</v>
      </c>
      <c r="Z14" s="13">
        <f>SUMIFS('HAM VERİ'!$E:$E,'HAM VERİ'!$I:$I,RAPOR4!Z$9,'HAM VERİ'!$C:$C,RAPOR4!$P$11,'HAM VERİ'!$D:$D,RAPOR4!$S14)</f>
        <v>19</v>
      </c>
      <c r="AA14" s="13">
        <f>SUMIFS('HAM VERİ'!$E:$E,'HAM VERİ'!$I:$I,RAPOR4!AA$9,'HAM VERİ'!$C:$C,RAPOR4!$P$11,'HAM VERİ'!$D:$D,RAPOR4!$S14)</f>
        <v>22</v>
      </c>
      <c r="AB14" s="13">
        <f>SUMIFS('HAM VERİ'!$E:$E,'HAM VERİ'!$I:$I,RAPOR4!AB$9,'HAM VERİ'!$C:$C,RAPOR4!$P$11,'HAM VERİ'!$D:$D,RAPOR4!$S14)</f>
        <v>24</v>
      </c>
      <c r="AC14" s="13">
        <f>SUMIFS('HAM VERİ'!$E:$E,'HAM VERİ'!$I:$I,RAPOR4!AC$9,'HAM VERİ'!$C:$C,RAPOR4!$P$11,'HAM VERİ'!$D:$D,RAPOR4!$S14)</f>
        <v>13</v>
      </c>
      <c r="AD14" s="13">
        <f>SUMIFS('HAM VERİ'!$E:$E,'HAM VERİ'!$I:$I,RAPOR4!AD$9,'HAM VERİ'!$C:$C,RAPOR4!$P$11,'HAM VERİ'!$D:$D,RAPOR4!$S14)</f>
        <v>24</v>
      </c>
      <c r="AE14" s="13">
        <f>SUMIFS('HAM VERİ'!$E:$E,'HAM VERİ'!$I:$I,RAPOR4!AE$9,'HAM VERİ'!$C:$C,RAPOR4!$P$11,'HAM VERİ'!$D:$D,RAPOR4!$S14)</f>
        <v>20</v>
      </c>
      <c r="AF14" s="13">
        <f>SUMIFS('HAM VERİ'!$E:$E,'HAM VERİ'!$I:$I,RAPOR4!AF$9,'HAM VERİ'!$C:$C,RAPOR4!$P$11,'HAM VERİ'!$D:$D,RAPOR4!$S14)</f>
        <v>0</v>
      </c>
      <c r="AG14" s="13">
        <f>SUMIFS('HAM VERİ'!$E:$E,'HAM VERİ'!$I:$I,RAPOR4!AG$9,'HAM VERİ'!$C:$C,RAPOR4!$P$11,'HAM VERİ'!$D:$D,RAPOR4!$S14)</f>
        <v>7</v>
      </c>
      <c r="AH14" s="27">
        <f t="shared" si="1"/>
        <v>252</v>
      </c>
      <c r="AI14" s="7"/>
      <c r="AJ14" s="7"/>
      <c r="AK14" s="7"/>
      <c r="AL14" s="7"/>
      <c r="AM14" s="7"/>
      <c r="AN14" s="7"/>
    </row>
    <row r="15" spans="1:40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28">
        <v>6</v>
      </c>
      <c r="S15" s="36"/>
      <c r="T15" s="25" t="s">
        <v>90</v>
      </c>
      <c r="U15" s="31" t="str">
        <f t="shared" si="0"/>
        <v>e</v>
      </c>
      <c r="V15" s="13">
        <f>SUMIFS('HAM VERİ'!$G:$G,'HAM VERİ'!$I:$I,RAPOR4!V$9,'HAM VERİ'!$C:$C,RAPOR4!$P$11,'HAM VERİ'!$D:$D,RAPOR4!$S14)</f>
        <v>2800</v>
      </c>
      <c r="W15" s="13">
        <f>SUMIFS('HAM VERİ'!$G:$G,'HAM VERİ'!$I:$I,RAPOR4!W$9,'HAM VERİ'!$C:$C,RAPOR4!$P$11,'HAM VERİ'!$D:$D,RAPOR4!$S14)</f>
        <v>74200</v>
      </c>
      <c r="X15" s="13">
        <f>SUMIFS('HAM VERİ'!$G:$G,'HAM VERİ'!$I:$I,RAPOR4!X$9,'HAM VERİ'!$C:$C,RAPOR4!$P$11,'HAM VERİ'!$D:$D,RAPOR4!$S14)</f>
        <v>4200</v>
      </c>
      <c r="Y15" s="13">
        <f>SUMIFS('HAM VERİ'!$G:$G,'HAM VERİ'!$I:$I,RAPOR4!Y$9,'HAM VERİ'!$C:$C,RAPOR4!$P$11,'HAM VERİ'!$D:$D,RAPOR4!$S14)</f>
        <v>100800</v>
      </c>
      <c r="Z15" s="13">
        <f>SUMIFS('HAM VERİ'!$G:$G,'HAM VERİ'!$I:$I,RAPOR4!Z$9,'HAM VERİ'!$C:$C,RAPOR4!$P$11,'HAM VERİ'!$D:$D,RAPOR4!$S14)</f>
        <v>26600</v>
      </c>
      <c r="AA15" s="13">
        <f>SUMIFS('HAM VERİ'!$G:$G,'HAM VERİ'!$I:$I,RAPOR4!AA$9,'HAM VERİ'!$C:$C,RAPOR4!$P$11,'HAM VERİ'!$D:$D,RAPOR4!$S14)</f>
        <v>30800</v>
      </c>
      <c r="AB15" s="13">
        <f>SUMIFS('HAM VERİ'!$G:$G,'HAM VERİ'!$I:$I,RAPOR4!AB$9,'HAM VERİ'!$C:$C,RAPOR4!$P$11,'HAM VERİ'!$D:$D,RAPOR4!$S14)</f>
        <v>33600</v>
      </c>
      <c r="AC15" s="13">
        <f>SUMIFS('HAM VERİ'!$G:$G,'HAM VERİ'!$I:$I,RAPOR4!AC$9,'HAM VERİ'!$C:$C,RAPOR4!$P$11,'HAM VERİ'!$D:$D,RAPOR4!$S14)</f>
        <v>18200</v>
      </c>
      <c r="AD15" s="13">
        <f>SUMIFS('HAM VERİ'!$G:$G,'HAM VERİ'!$I:$I,RAPOR4!AD$9,'HAM VERİ'!$C:$C,RAPOR4!$P$11,'HAM VERİ'!$D:$D,RAPOR4!$S14)</f>
        <v>33600</v>
      </c>
      <c r="AE15" s="13">
        <f>SUMIFS('HAM VERİ'!$G:$G,'HAM VERİ'!$I:$I,RAPOR4!AE$9,'HAM VERİ'!$C:$C,RAPOR4!$P$11,'HAM VERİ'!$D:$D,RAPOR4!$S14)</f>
        <v>28000</v>
      </c>
      <c r="AF15" s="13">
        <f>SUMIFS('HAM VERİ'!$G:$G,'HAM VERİ'!$I:$I,RAPOR4!AF$9,'HAM VERİ'!$C:$C,RAPOR4!$P$11,'HAM VERİ'!$D:$D,RAPOR4!$S14)</f>
        <v>0</v>
      </c>
      <c r="AG15" s="13">
        <f>SUMIFS('HAM VERİ'!$G:$G,'HAM VERİ'!$I:$I,RAPOR4!AG$9,'HAM VERİ'!$C:$C,RAPOR4!$P$11,'HAM VERİ'!$D:$D,RAPOR4!$S14)</f>
        <v>9800</v>
      </c>
      <c r="AH15" s="27">
        <f t="shared" si="1"/>
        <v>352800</v>
      </c>
      <c r="AI15" s="7"/>
      <c r="AJ15" s="7"/>
      <c r="AK15" s="7"/>
      <c r="AL15" s="7"/>
      <c r="AM15" s="7"/>
      <c r="AN15" s="7"/>
    </row>
    <row r="16" spans="1:40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28">
        <v>7</v>
      </c>
      <c r="S16" s="36" t="s">
        <v>92</v>
      </c>
      <c r="T16" s="25" t="s">
        <v>89</v>
      </c>
      <c r="U16" s="31" t="str">
        <f t="shared" si="0"/>
        <v>e</v>
      </c>
      <c r="V16" s="27">
        <f>SUM(V10,V12,V14)</f>
        <v>6</v>
      </c>
      <c r="W16" s="27">
        <f t="shared" ref="W16:AG16" si="2">SUM(W10,W12,W14)</f>
        <v>95</v>
      </c>
      <c r="X16" s="27">
        <f t="shared" si="2"/>
        <v>16</v>
      </c>
      <c r="Y16" s="27">
        <f t="shared" si="2"/>
        <v>264</v>
      </c>
      <c r="Z16" s="27">
        <f t="shared" si="2"/>
        <v>52</v>
      </c>
      <c r="AA16" s="27">
        <f t="shared" si="2"/>
        <v>126</v>
      </c>
      <c r="AB16" s="27">
        <f t="shared" si="2"/>
        <v>104</v>
      </c>
      <c r="AC16" s="27">
        <f t="shared" si="2"/>
        <v>85</v>
      </c>
      <c r="AD16" s="27">
        <f t="shared" si="2"/>
        <v>65</v>
      </c>
      <c r="AE16" s="27">
        <f t="shared" si="2"/>
        <v>61</v>
      </c>
      <c r="AF16" s="27">
        <f t="shared" si="2"/>
        <v>73</v>
      </c>
      <c r="AG16" s="27">
        <f t="shared" si="2"/>
        <v>112</v>
      </c>
      <c r="AH16" s="27">
        <f t="shared" si="1"/>
        <v>947</v>
      </c>
      <c r="AI16" s="7"/>
      <c r="AJ16" s="7"/>
      <c r="AK16" s="7"/>
      <c r="AL16" s="7"/>
      <c r="AM16" s="7"/>
      <c r="AN16" s="7"/>
    </row>
    <row r="17" spans="1:40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28">
        <v>8</v>
      </c>
      <c r="S17" s="36"/>
      <c r="T17" s="25" t="s">
        <v>90</v>
      </c>
      <c r="U17" s="31" t="str">
        <f t="shared" si="0"/>
        <v>e</v>
      </c>
      <c r="V17" s="27">
        <f>SUM(V11,V13,V15)</f>
        <v>29550</v>
      </c>
      <c r="W17" s="27">
        <f t="shared" ref="W17:AG17" si="3">SUM(W11,W13,W15)</f>
        <v>373200</v>
      </c>
      <c r="X17" s="27">
        <f t="shared" si="3"/>
        <v>92950</v>
      </c>
      <c r="Y17" s="27">
        <f t="shared" si="3"/>
        <v>913550</v>
      </c>
      <c r="Z17" s="27">
        <f t="shared" si="3"/>
        <v>176600</v>
      </c>
      <c r="AA17" s="27">
        <f t="shared" si="3"/>
        <v>450800</v>
      </c>
      <c r="AB17" s="27">
        <f t="shared" si="3"/>
        <v>314850</v>
      </c>
      <c r="AC17" s="27">
        <f t="shared" si="3"/>
        <v>448950</v>
      </c>
      <c r="AD17" s="27">
        <f t="shared" si="3"/>
        <v>186350</v>
      </c>
      <c r="AE17" s="27">
        <f t="shared" si="3"/>
        <v>354750</v>
      </c>
      <c r="AF17" s="27">
        <f t="shared" si="3"/>
        <v>504500</v>
      </c>
      <c r="AG17" s="27">
        <f t="shared" si="3"/>
        <v>387550</v>
      </c>
      <c r="AH17" s="27">
        <f t="shared" si="1"/>
        <v>3846050</v>
      </c>
      <c r="AI17" s="7"/>
      <c r="AJ17" s="7"/>
      <c r="AK17" s="7"/>
      <c r="AL17" s="7"/>
      <c r="AM17" s="7"/>
      <c r="AN17" s="7"/>
    </row>
    <row r="18" spans="1:40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</row>
    <row r="19" spans="1:40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</row>
    <row r="20" spans="1:40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</row>
    <row r="21" spans="1:40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</row>
    <row r="22" spans="1:40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</row>
    <row r="23" spans="1:40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</row>
    <row r="24" spans="1:40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29"/>
      <c r="V24" s="7"/>
      <c r="W24" s="7"/>
      <c r="X24" s="7">
        <f ca="1">OFFSET($U$9,$P$12,1,1,12)</f>
        <v>92950</v>
      </c>
      <c r="Y24" s="7" t="str">
        <f>CONCATENATE($P$11," ","SATIŞ TABLOSU")</f>
        <v>HÜSEYİN ARSLAN SATIŞ TABLOSU</v>
      </c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</row>
    <row r="25" spans="1:40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</row>
    <row r="26" spans="1:40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 t="str">
        <f>IF(ISODD($P$12),"ADET",IF(ISEVEN($P$12),"TUTAR"))</f>
        <v>TUTAR</v>
      </c>
      <c r="Z26" s="7" t="str">
        <f>IF(OR($P$12=1,$P$12=2),"RAF",IF(OR($P$12=3,$P$12=4),"KİTAPLIK",IF(OR(P12=5,$P$12=6),"MASA",IF(OR(P12=7,P12=8),"TOPLAM"))))</f>
        <v>TOPLAM</v>
      </c>
      <c r="AA26" s="7" t="str">
        <f>CONCATENATE($P$11," ",$Z$26," ","SATIŞ"," ","(",$Y$26,")")</f>
        <v>HÜSEYİN ARSLAN TOPLAM SATIŞ (TUTAR)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</row>
    <row r="27" spans="1:40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</row>
    <row r="28" spans="1:40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30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</row>
    <row r="30" spans="1:40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</row>
    <row r="31" spans="1:40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</row>
    <row r="32" spans="1:40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</row>
    <row r="33" spans="1:40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</row>
    <row r="34" spans="1:40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</row>
    <row r="35" spans="1:40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</row>
    <row r="36" spans="1:40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</row>
    <row r="37" spans="1:40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</row>
    <row r="38" spans="1:40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</row>
    <row r="39" spans="1:40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</row>
    <row r="40" spans="1:40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</row>
    <row r="41" spans="1:40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</row>
    <row r="42" spans="1:40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</row>
    <row r="43" spans="1:40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</row>
    <row r="44" spans="1:40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</row>
    <row r="45" spans="1:40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</row>
    <row r="46" spans="1:40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</row>
    <row r="48" spans="1:40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</row>
    <row r="49" spans="1:40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</row>
    <row r="50" spans="1:40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</row>
    <row r="51" spans="1:40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</row>
    <row r="52" spans="1:40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</row>
    <row r="53" spans="1:40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</row>
    <row r="54" spans="1:40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</row>
    <row r="55" spans="1:40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</row>
    <row r="56" spans="1:40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</row>
    <row r="57" spans="1:40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</row>
    <row r="58" spans="1:40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</row>
  </sheetData>
  <mergeCells count="4">
    <mergeCell ref="S14:S15"/>
    <mergeCell ref="S16:S17"/>
    <mergeCell ref="S10:S11"/>
    <mergeCell ref="S12:S13"/>
  </mergeCells>
  <phoneticPr fontId="8" type="noConversion"/>
  <conditionalFormatting sqref="U10:AH17">
    <cfRule type="expression" dxfId="3" priority="1">
      <formula>$R10=$P$12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ListBox2">
          <controlPr defaultSize="0" autoLine="0" linkedCell="O11" listFillRange="Subeler" r:id="rId4">
            <anchor moveWithCells="1">
              <from>
                <xdr:col>9</xdr:col>
                <xdr:colOff>123825</xdr:colOff>
                <xdr:row>20</xdr:row>
                <xdr:rowOff>38100</xdr:rowOff>
              </from>
              <to>
                <xdr:col>15</xdr:col>
                <xdr:colOff>752475</xdr:colOff>
                <xdr:row>25</xdr:row>
                <xdr:rowOff>152400</xdr:rowOff>
              </to>
            </anchor>
          </controlPr>
        </control>
      </mc:Choice>
      <mc:Fallback>
        <control shapeId="4098" r:id="rId3" name="ListBox2"/>
      </mc:Fallback>
    </mc:AlternateContent>
    <mc:AlternateContent xmlns:mc="http://schemas.openxmlformats.org/markup-compatibility/2006">
      <mc:Choice Requires="x14">
        <control shapeId="4097" r:id="rId5" name="ListBox1">
          <controlPr defaultSize="0" autoLine="0" linkedCell="N11" listFillRange="Bolgeler" r:id="rId6">
            <anchor moveWithCells="1">
              <from>
                <xdr:col>8</xdr:col>
                <xdr:colOff>76200</xdr:colOff>
                <xdr:row>8</xdr:row>
                <xdr:rowOff>28575</xdr:rowOff>
              </from>
              <to>
                <xdr:col>16</xdr:col>
                <xdr:colOff>533400</xdr:colOff>
                <xdr:row>15</xdr:row>
                <xdr:rowOff>95250</xdr:rowOff>
              </to>
            </anchor>
          </controlPr>
        </control>
      </mc:Choice>
      <mc:Fallback>
        <control shapeId="4097" r:id="rId5" name="ListBox1"/>
      </mc:Fallback>
    </mc:AlternateContent>
    <mc:AlternateContent xmlns:mc="http://schemas.openxmlformats.org/markup-compatibility/2006">
      <mc:Choice Requires="x14">
        <control shapeId="4100" r:id="rId7" name="ListBox3">
          <controlPr defaultSize="0" autoLine="0" linkedCell="P11" listFillRange="satıscılarr" r:id="rId8">
            <anchor moveWithCells="1">
              <from>
                <xdr:col>10</xdr:col>
                <xdr:colOff>171450</xdr:colOff>
                <xdr:row>30</xdr:row>
                <xdr:rowOff>123825</xdr:rowOff>
              </from>
              <to>
                <xdr:col>14</xdr:col>
                <xdr:colOff>457200</xdr:colOff>
                <xdr:row>34</xdr:row>
                <xdr:rowOff>0</xdr:rowOff>
              </to>
            </anchor>
          </controlPr>
        </control>
      </mc:Choice>
      <mc:Fallback>
        <control shapeId="4100" r:id="rId7" name="ListBox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7"/>
  <dimension ref="A1:AL58"/>
  <sheetViews>
    <sheetView showGridLines="0" tabSelected="1" zoomScale="80" zoomScaleNormal="80" workbookViewId="0">
      <selection activeCell="V27" sqref="V27"/>
    </sheetView>
  </sheetViews>
  <sheetFormatPr defaultRowHeight="15" x14ac:dyDescent="0.25"/>
  <sheetData>
    <row r="1" spans="1:38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</row>
    <row r="2" spans="1:38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</row>
    <row r="3" spans="1:38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</row>
    <row r="4" spans="1:38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</row>
    <row r="5" spans="1:38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32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38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</row>
    <row r="7" spans="1:38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</row>
    <row r="8" spans="1:3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</row>
    <row r="9" spans="1:3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</row>
    <row r="10" spans="1:3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x14ac:dyDescent="0.25">
      <c r="A21" s="7"/>
      <c r="B21" s="7"/>
      <c r="C21" s="7"/>
      <c r="D21" s="7"/>
      <c r="E21" s="7" t="s">
        <v>59</v>
      </c>
      <c r="F21" s="32">
        <f>SUMIFS('HAM VERİ'!$E:$E,'HAM VERİ'!$D:$D,"RAF",'HAM VERİ'!$C:$C,RAPOR5!$E$21)/SUMIFS('HAM VERİ'!$F:$F,'HAM VERİ'!$D:$D,"RAF",'HAM VERİ'!$C:$C,RAPOR5!$E$21)</f>
        <v>0.58757062146892658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x14ac:dyDescent="0.25">
      <c r="A22" s="7"/>
      <c r="B22" s="7"/>
      <c r="C22" s="7"/>
      <c r="D22" s="7"/>
      <c r="E22" s="7"/>
      <c r="F22" s="32">
        <f>SUMIFS('HAM VERİ'!$E:$E,'HAM VERİ'!$D:$D,"KİTAPLIK",'HAM VERİ'!$C:$C,RAPOR5!$E$21)/SUMIFS('HAM VERİ'!$F:$F,'HAM VERİ'!$D:$D,"RAF",'HAM VERİ'!$C:$C,RAPOR5!$E$21)</f>
        <v>0.62900188323917139</v>
      </c>
      <c r="G22" s="32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x14ac:dyDescent="0.25">
      <c r="A23" s="7"/>
      <c r="B23" s="7"/>
      <c r="C23" s="7"/>
      <c r="D23" s="7"/>
      <c r="E23" s="7"/>
      <c r="F23" s="32">
        <f>SUMIFS('HAM VERİ'!$E:$E,'HAM VERİ'!$D:$D,"MASA",'HAM VERİ'!$C:$C,RAPOR5!$E$21)/SUMIFS('HAM VERİ'!$F:$F,'HAM VERİ'!$D:$D,"RAF",'HAM VERİ'!$C:$C,RAPOR5!$E$21)</f>
        <v>0.53483992467043318</v>
      </c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x14ac:dyDescent="0.25">
      <c r="A24" s="7"/>
      <c r="B24" s="7"/>
      <c r="C24" s="7"/>
      <c r="D24" s="7"/>
      <c r="E24" s="7" t="str">
        <f>INDEX('HAM VERİ'!$A:$A,MATCH(RAPOR5!$E$21,'HAM VERİ'!$C:$C,0),0)</f>
        <v>1. Bölge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x14ac:dyDescent="0.25">
      <c r="A26" s="7"/>
      <c r="B26" s="7"/>
      <c r="C26" s="7"/>
      <c r="D26" s="7"/>
      <c r="E26" s="7" t="s">
        <v>82</v>
      </c>
      <c r="F26" s="32">
        <f>SUMIFS('HAM VERİ'!$E:$E,'HAM VERİ'!$A:$A,RAPOR5!$E$24,'HAM VERİ'!$D:$D,"RAF")/SUMIFS('HAM VERİ'!$F:$F,'HAM VERİ'!$A:$A,RAPOR5!$E$24,'HAM VERİ'!$D:$D,"RAF")</f>
        <v>0.58292011019283752</v>
      </c>
      <c r="G26" s="38">
        <f>F26+5%</f>
        <v>0.63292011019283756</v>
      </c>
      <c r="H26" s="32">
        <v>1.1000000000000001</v>
      </c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x14ac:dyDescent="0.25">
      <c r="A27" s="7"/>
      <c r="B27" s="7"/>
      <c r="C27" s="7"/>
      <c r="D27" s="7"/>
      <c r="E27" s="7" t="s">
        <v>83</v>
      </c>
      <c r="F27" s="32">
        <f>SUMIFS('HAM VERİ'!$E:$E,'HAM VERİ'!$A:$A,RAPOR5!$E$24,'HAM VERİ'!$D:$D,"KİTAPLIK")/SUMIFS('HAM VERİ'!$F:$F,'HAM VERİ'!$A:$A,RAPOR5!$E$24,'HAM VERİ'!$D:$D,"KİTAPLIK")</f>
        <v>0.51396648044692739</v>
      </c>
      <c r="G27" s="38">
        <f t="shared" ref="G27:G28" si="0">F27+5%</f>
        <v>0.56396648044692743</v>
      </c>
      <c r="H27" s="32">
        <v>1.1000000000000001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x14ac:dyDescent="0.25">
      <c r="A28" s="7"/>
      <c r="B28" s="7"/>
      <c r="C28" s="7"/>
      <c r="D28" s="7"/>
      <c r="E28" s="7" t="s">
        <v>84</v>
      </c>
      <c r="F28" s="32">
        <f>SUMIFS('HAM VERİ'!$E:$E,'HAM VERİ'!$A:$A,RAPOR5!$E$24,'HAM VERİ'!$D:$D,"MASA")/SUMIFS('HAM VERİ'!$F:$F,'HAM VERİ'!$A:$A,RAPOR5!$E$24,'HAM VERİ'!$D:$D,"MASA")</f>
        <v>0.50066577896138487</v>
      </c>
      <c r="G28" s="38">
        <f t="shared" si="0"/>
        <v>0.55066577896138491</v>
      </c>
      <c r="H28" s="32">
        <v>1.1000000000000001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ListBox1">
          <controlPr defaultSize="0" autoLine="0" linkedCell="E21" listFillRange="Satıscılar" r:id="rId4">
            <anchor moveWithCells="1">
              <from>
                <xdr:col>3</xdr:col>
                <xdr:colOff>371475</xdr:colOff>
                <xdr:row>14</xdr:row>
                <xdr:rowOff>85725</xdr:rowOff>
              </from>
              <to>
                <xdr:col>8</xdr:col>
                <xdr:colOff>152400</xdr:colOff>
                <xdr:row>38</xdr:row>
                <xdr:rowOff>0</xdr:rowOff>
              </to>
            </anchor>
          </controlPr>
        </control>
      </mc:Choice>
      <mc:Fallback>
        <control shapeId="5121" r:id="rId3" name="ListBox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1  a � 1 
</file>

<file path=customXml/item2.xml>�� 1  a � 1 
</file>

<file path=customXml/itemProps1.xml><?xml version="1.0" encoding="utf-8"?>
<ds:datastoreItem xmlns:ds="http://schemas.openxmlformats.org/officeDocument/2006/customXml" ds:itemID="{38C96CB5-E8AC-40B8-BC08-5996A511891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09ED3DE6-B1E6-4AAE-9686-423CCCF0B7E9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5</vt:i4>
      </vt:variant>
    </vt:vector>
  </HeadingPairs>
  <TitlesOfParts>
    <vt:vector size="13" baseType="lpstr">
      <vt:lpstr>PARAMETRE LİSTESİ</vt:lpstr>
      <vt:lpstr>HAM VERİ</vt:lpstr>
      <vt:lpstr>SATIŞÇILAR</vt:lpstr>
      <vt:lpstr>RAPOR1</vt:lpstr>
      <vt:lpstr>RAPOR2</vt:lpstr>
      <vt:lpstr>RAPOR3</vt:lpstr>
      <vt:lpstr>RAPOR4</vt:lpstr>
      <vt:lpstr>RAPOR5</vt:lpstr>
      <vt:lpstr>Bolgeler</vt:lpstr>
      <vt:lpstr>Donem</vt:lpstr>
      <vt:lpstr>Satıscılar</vt:lpstr>
      <vt:lpstr>Sube</vt:lpstr>
      <vt:lpstr>Urun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Yunus</dc:creator>
  <cp:lastModifiedBy>Yunus</cp:lastModifiedBy>
  <dcterms:created xsi:type="dcterms:W3CDTF">2020-02-13T18:26:07Z</dcterms:created>
  <dcterms:modified xsi:type="dcterms:W3CDTF">2020-03-29T12:57:26Z</dcterms:modified>
</cp:coreProperties>
</file>